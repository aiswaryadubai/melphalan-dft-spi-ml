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New folder (2)\"/>
    </mc:Choice>
  </mc:AlternateContent>
  <xr:revisionPtr revIDLastSave="0" documentId="8_{791FD6DA-1FCB-4FAD-B0EC-442E6B5FA83C}" xr6:coauthVersionLast="47" xr6:coauthVersionMax="47" xr10:uidLastSave="{00000000-0000-0000-0000-000000000000}"/>
  <bookViews>
    <workbookView xWindow="-110" yWindow="-110" windowWidth="19420" windowHeight="10300" xr2:uid="{1F6C5268-7DC2-4231-BEE6-0790CAE5DCE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77" i="2" l="1"/>
  <c r="Q77" i="2"/>
  <c r="S77" i="2" s="1"/>
  <c r="K77" i="2"/>
  <c r="Q76" i="2"/>
  <c r="K76" i="2"/>
  <c r="R76" i="2" s="1"/>
  <c r="Q75" i="2"/>
  <c r="P75" i="2"/>
  <c r="K75" i="2"/>
  <c r="R75" i="2" s="1"/>
  <c r="Q74" i="2"/>
  <c r="P74" i="2"/>
  <c r="K74" i="2"/>
  <c r="R74" i="2" s="1"/>
  <c r="Q73" i="2"/>
  <c r="P73" i="2"/>
  <c r="K73" i="2"/>
  <c r="R73" i="2" s="1"/>
  <c r="S73" i="2" s="1"/>
  <c r="Q72" i="2"/>
  <c r="P72" i="2"/>
  <c r="K72" i="2"/>
  <c r="R72" i="2" s="1"/>
  <c r="Q71" i="2"/>
  <c r="P71" i="2"/>
  <c r="K71" i="2"/>
  <c r="R71" i="2" s="1"/>
  <c r="S71" i="2" s="1"/>
  <c r="Q70" i="2"/>
  <c r="P70" i="2"/>
  <c r="K70" i="2"/>
  <c r="R70" i="2" s="1"/>
  <c r="R69" i="2"/>
  <c r="Q69" i="2"/>
  <c r="P69" i="2" s="1"/>
  <c r="K69" i="2"/>
  <c r="Q68" i="2"/>
  <c r="P68" i="2"/>
  <c r="K68" i="2"/>
  <c r="R68" i="2" s="1"/>
  <c r="S68" i="2" s="1"/>
  <c r="Q67" i="2"/>
  <c r="P67" i="2"/>
  <c r="K67" i="2"/>
  <c r="R67" i="2" s="1"/>
  <c r="R66" i="2"/>
  <c r="Q66" i="2"/>
  <c r="S66" i="2" s="1"/>
  <c r="K66" i="2"/>
  <c r="Q65" i="2"/>
  <c r="S65" i="2" s="1"/>
  <c r="P65" i="2"/>
  <c r="K65" i="2"/>
  <c r="R65" i="2" s="1"/>
  <c r="R64" i="2"/>
  <c r="S64" i="2" s="1"/>
  <c r="Q64" i="2"/>
  <c r="P64" i="2"/>
  <c r="K64" i="2"/>
  <c r="Q63" i="2"/>
  <c r="P63" i="2"/>
  <c r="K63" i="2"/>
  <c r="R63" i="2" s="1"/>
  <c r="R62" i="2"/>
  <c r="Q62" i="2"/>
  <c r="S62" i="2" s="1"/>
  <c r="P62" i="2"/>
  <c r="K62" i="2"/>
  <c r="R61" i="2"/>
  <c r="S61" i="2" s="1"/>
  <c r="Q61" i="2"/>
  <c r="P61" i="2"/>
  <c r="K61" i="2"/>
  <c r="Q60" i="2"/>
  <c r="P60" i="2"/>
  <c r="K60" i="2"/>
  <c r="R60" i="2" s="1"/>
  <c r="Q59" i="2"/>
  <c r="P59" i="2"/>
  <c r="K59" i="2"/>
  <c r="R59" i="2" s="1"/>
  <c r="S59" i="2" s="1"/>
  <c r="Q58" i="2"/>
  <c r="S58" i="2" s="1"/>
  <c r="P58" i="2"/>
  <c r="K58" i="2"/>
  <c r="R58" i="2" s="1"/>
  <c r="R57" i="2"/>
  <c r="Q57" i="2"/>
  <c r="P57" i="2" s="1"/>
  <c r="K57" i="2"/>
  <c r="S56" i="2"/>
  <c r="R56" i="2"/>
  <c r="Q56" i="2"/>
  <c r="P56" i="2"/>
  <c r="R55" i="2"/>
  <c r="Q55" i="2"/>
  <c r="S55" i="2" s="1"/>
  <c r="P55" i="2"/>
  <c r="R54" i="2"/>
  <c r="S54" i="2" s="1"/>
  <c r="Q54" i="2"/>
  <c r="P54" i="2"/>
  <c r="S53" i="2"/>
  <c r="R53" i="2"/>
  <c r="Q53" i="2"/>
  <c r="P53" i="2"/>
  <c r="R52" i="2"/>
  <c r="Q52" i="2"/>
  <c r="S52" i="2" s="1"/>
  <c r="P52" i="2"/>
  <c r="R51" i="2"/>
  <c r="S51" i="2" s="1"/>
  <c r="Q51" i="2"/>
  <c r="P51" i="2"/>
  <c r="S50" i="2"/>
  <c r="R50" i="2"/>
  <c r="Q50" i="2"/>
  <c r="P50" i="2"/>
  <c r="Q49" i="2"/>
  <c r="P49" i="2"/>
  <c r="K49" i="2"/>
  <c r="R49" i="2" s="1"/>
  <c r="Q48" i="2"/>
  <c r="P48" i="2"/>
  <c r="K48" i="2"/>
  <c r="R48" i="2" s="1"/>
  <c r="S48" i="2" s="1"/>
  <c r="Q47" i="2"/>
  <c r="S47" i="2" s="1"/>
  <c r="P47" i="2"/>
  <c r="K47" i="2"/>
  <c r="R47" i="2" s="1"/>
  <c r="R46" i="2"/>
  <c r="Q46" i="2"/>
  <c r="P46" i="2" s="1"/>
  <c r="K46" i="2"/>
  <c r="Q45" i="2"/>
  <c r="P45" i="2"/>
  <c r="K45" i="2"/>
  <c r="R45" i="2" s="1"/>
  <c r="S45" i="2" s="1"/>
  <c r="Q44" i="2"/>
  <c r="P44" i="2"/>
  <c r="K44" i="2"/>
  <c r="R44" i="2" s="1"/>
  <c r="R43" i="2"/>
  <c r="Q43" i="2"/>
  <c r="S43" i="2" s="1"/>
  <c r="K43" i="2"/>
  <c r="Q42" i="2"/>
  <c r="P42" i="2"/>
  <c r="K42" i="2"/>
  <c r="R42" i="2" s="1"/>
  <c r="R41" i="2"/>
  <c r="S41" i="2" s="1"/>
  <c r="Q41" i="2"/>
  <c r="P41" i="2"/>
  <c r="K41" i="2"/>
  <c r="Q40" i="2"/>
  <c r="P40" i="2"/>
  <c r="K40" i="2"/>
  <c r="R40" i="2" s="1"/>
  <c r="R39" i="2"/>
  <c r="Q39" i="2"/>
  <c r="S39" i="2" s="1"/>
  <c r="P39" i="2"/>
  <c r="K39" i="2"/>
  <c r="R38" i="2"/>
  <c r="S38" i="2" s="1"/>
  <c r="Q38" i="2"/>
  <c r="P38" i="2"/>
  <c r="K38" i="2"/>
  <c r="Q37" i="2"/>
  <c r="P37" i="2"/>
  <c r="K37" i="2"/>
  <c r="R37" i="2" s="1"/>
  <c r="Q36" i="2"/>
  <c r="P36" i="2"/>
  <c r="K36" i="2"/>
  <c r="R36" i="2" s="1"/>
  <c r="S36" i="2" s="1"/>
  <c r="Q35" i="2"/>
  <c r="P35" i="2"/>
  <c r="K35" i="2"/>
  <c r="R35" i="2" s="1"/>
  <c r="R34" i="2"/>
  <c r="Q34" i="2"/>
  <c r="P34" i="2" s="1"/>
  <c r="K34" i="2"/>
  <c r="Q33" i="2"/>
  <c r="P33" i="2"/>
  <c r="K33" i="2"/>
  <c r="R33" i="2" s="1"/>
  <c r="S33" i="2" s="1"/>
  <c r="Q32" i="2"/>
  <c r="S32" i="2" s="1"/>
  <c r="P32" i="2"/>
  <c r="K32" i="2"/>
  <c r="R32" i="2" s="1"/>
  <c r="R31" i="2"/>
  <c r="Q31" i="2"/>
  <c r="S31" i="2" s="1"/>
  <c r="K31" i="2"/>
  <c r="Q30" i="2"/>
  <c r="P30" i="2"/>
  <c r="K30" i="2"/>
  <c r="R30" i="2" s="1"/>
  <c r="R29" i="2"/>
  <c r="S29" i="2" s="1"/>
  <c r="Q29" i="2"/>
  <c r="P29" i="2"/>
  <c r="K29" i="2"/>
  <c r="Q28" i="2"/>
  <c r="P28" i="2"/>
  <c r="K28" i="2"/>
  <c r="R28" i="2" s="1"/>
  <c r="R27" i="2"/>
  <c r="Q27" i="2"/>
  <c r="S27" i="2" s="1"/>
  <c r="P27" i="2"/>
  <c r="R26" i="2"/>
  <c r="Q26" i="2"/>
  <c r="S26" i="2" s="1"/>
  <c r="R25" i="2"/>
  <c r="Q25" i="2"/>
  <c r="S25" i="2" s="1"/>
  <c r="P25" i="2"/>
  <c r="R24" i="2"/>
  <c r="Q24" i="2"/>
  <c r="S24" i="2" s="1"/>
  <c r="P24" i="2"/>
  <c r="R23" i="2"/>
  <c r="Q23" i="2"/>
  <c r="S23" i="2" s="1"/>
  <c r="K23" i="2"/>
  <c r="Q22" i="2"/>
  <c r="P22" i="2"/>
  <c r="K22" i="2"/>
  <c r="R22" i="2" s="1"/>
  <c r="R21" i="2"/>
  <c r="S21" i="2" s="1"/>
  <c r="Q21" i="2"/>
  <c r="P21" i="2"/>
  <c r="K21" i="2"/>
  <c r="Q20" i="2"/>
  <c r="P20" i="2"/>
  <c r="K20" i="2"/>
  <c r="R20" i="2" s="1"/>
  <c r="R19" i="2"/>
  <c r="Q19" i="2"/>
  <c r="S19" i="2" s="1"/>
  <c r="P19" i="2"/>
  <c r="K19" i="2"/>
  <c r="R18" i="2"/>
  <c r="S18" i="2" s="1"/>
  <c r="Q18" i="2"/>
  <c r="P18" i="2"/>
  <c r="K18" i="2"/>
  <c r="Q17" i="2"/>
  <c r="S17" i="2" s="1"/>
  <c r="P17" i="2"/>
  <c r="K17" i="2"/>
  <c r="R17" i="2" s="1"/>
  <c r="S16" i="2"/>
  <c r="R16" i="2"/>
  <c r="Q16" i="2"/>
  <c r="P16" i="2"/>
  <c r="R15" i="2"/>
  <c r="Q15" i="2"/>
  <c r="S15" i="2" s="1"/>
  <c r="P15" i="2"/>
  <c r="Q14" i="2"/>
  <c r="P14" i="2"/>
  <c r="K14" i="2"/>
  <c r="R14" i="2" s="1"/>
  <c r="R13" i="2"/>
  <c r="Q13" i="2"/>
  <c r="S13" i="2" s="1"/>
  <c r="R12" i="2"/>
  <c r="Q12" i="2"/>
  <c r="S12" i="2" s="1"/>
  <c r="P12" i="2"/>
  <c r="R11" i="2"/>
  <c r="Q11" i="2"/>
  <c r="S11" i="2" s="1"/>
  <c r="P11" i="2"/>
  <c r="K11" i="2"/>
  <c r="R10" i="2"/>
  <c r="S10" i="2" s="1"/>
  <c r="Q10" i="2"/>
  <c r="P10" i="2"/>
  <c r="K10" i="2"/>
  <c r="Q9" i="2"/>
  <c r="P9" i="2"/>
  <c r="K9" i="2"/>
  <c r="R9" i="2" s="1"/>
  <c r="S8" i="2"/>
  <c r="R8" i="2"/>
  <c r="Q8" i="2"/>
  <c r="P8" i="2"/>
  <c r="K8" i="2"/>
  <c r="Q7" i="2"/>
  <c r="P7" i="2"/>
  <c r="K7" i="2"/>
  <c r="R7" i="2" s="1"/>
  <c r="R6" i="2"/>
  <c r="Q6" i="2"/>
  <c r="P6" i="2" s="1"/>
  <c r="R5" i="2"/>
  <c r="S5" i="2" s="1"/>
  <c r="Q5" i="2"/>
  <c r="P5" i="2"/>
  <c r="R4" i="2"/>
  <c r="Q4" i="2"/>
  <c r="S4" i="2" s="1"/>
  <c r="P4" i="2"/>
  <c r="R3" i="2"/>
  <c r="Q3" i="2"/>
  <c r="P3" i="2" s="1"/>
  <c r="R2" i="2"/>
  <c r="S2" i="2" s="1"/>
  <c r="Q2" i="2"/>
  <c r="P2" i="2"/>
  <c r="S7" i="2" l="1"/>
  <c r="S14" i="2"/>
  <c r="S40" i="2"/>
  <c r="S37" i="2"/>
  <c r="S76" i="2"/>
  <c r="S22" i="2"/>
  <c r="S60" i="2"/>
  <c r="S75" i="2"/>
  <c r="S35" i="2"/>
  <c r="S42" i="2"/>
  <c r="S72" i="2"/>
  <c r="S44" i="2"/>
  <c r="S74" i="2"/>
  <c r="S30" i="2"/>
  <c r="S49" i="2"/>
  <c r="S67" i="2"/>
  <c r="S9" i="2"/>
  <c r="S70" i="2"/>
  <c r="S63" i="2"/>
  <c r="S20" i="2"/>
  <c r="S28" i="2"/>
  <c r="S3" i="2"/>
  <c r="S6" i="2"/>
  <c r="S34" i="2"/>
  <c r="S46" i="2"/>
  <c r="S57" i="2"/>
  <c r="S69" i="2"/>
  <c r="P13" i="2"/>
  <c r="P23" i="2"/>
  <c r="P26" i="2"/>
  <c r="P31" i="2"/>
  <c r="P43" i="2"/>
  <c r="P66" i="2"/>
  <c r="P76" i="2"/>
  <c r="P77" i="2"/>
</calcChain>
</file>

<file path=xl/sharedStrings.xml><?xml version="1.0" encoding="utf-8"?>
<sst xmlns="http://schemas.openxmlformats.org/spreadsheetml/2006/main" count="399" uniqueCount="144">
  <si>
    <t>System_ID</t>
  </si>
  <si>
    <t>Nanostructure_Type</t>
  </si>
  <si>
    <t>Dopant</t>
  </si>
  <si>
    <t>Dopant_Count</t>
  </si>
  <si>
    <t>Medium</t>
  </si>
  <si>
    <t>Total Atoms</t>
  </si>
  <si>
    <t>Adosption_Site</t>
  </si>
  <si>
    <t>Distance_A</t>
  </si>
  <si>
    <t>HOMO_eV</t>
  </si>
  <si>
    <t>LUMO_eV</t>
  </si>
  <si>
    <t>Bandgap_eV</t>
  </si>
  <si>
    <t>Mulliken_Charge_Dopant</t>
  </si>
  <si>
    <t>Charge_Transfer_e</t>
  </si>
  <si>
    <t>E_ads_DFT_eV</t>
  </si>
  <si>
    <t>Recoverytime_sec</t>
  </si>
  <si>
    <t>electronegativity_eV</t>
  </si>
  <si>
    <t>chemical potential_eV</t>
  </si>
  <si>
    <t>hardness_eV</t>
  </si>
  <si>
    <t>electrophilicity index_eV</t>
  </si>
  <si>
    <t>BN_Pristine</t>
  </si>
  <si>
    <t>BNNS</t>
  </si>
  <si>
    <t>None</t>
  </si>
  <si>
    <t>Air</t>
  </si>
  <si>
    <t>Top</t>
  </si>
  <si>
    <t>BCN_Pristine</t>
  </si>
  <si>
    <t>BCNNS</t>
  </si>
  <si>
    <t>BNC_Pristine</t>
  </si>
  <si>
    <t>BCNNC</t>
  </si>
  <si>
    <t>BN_Al</t>
  </si>
  <si>
    <t>BNNS_Alsheet</t>
  </si>
  <si>
    <t>Al</t>
  </si>
  <si>
    <t>BN_Ga</t>
  </si>
  <si>
    <t>BNNS_Gasheet</t>
  </si>
  <si>
    <t>Ga</t>
  </si>
  <si>
    <t>BN_Au</t>
  </si>
  <si>
    <t>BNNS_Ausheet</t>
  </si>
  <si>
    <t>Au</t>
  </si>
  <si>
    <t>BN_Cu</t>
  </si>
  <si>
    <t>BNNS_Cusheet</t>
  </si>
  <si>
    <t>Cu</t>
  </si>
  <si>
    <t>BN_Co</t>
  </si>
  <si>
    <t>BNNS_Cosheet</t>
  </si>
  <si>
    <t>Co</t>
  </si>
  <si>
    <t>BN_Fe</t>
  </si>
  <si>
    <t>BNNS_Fesheet</t>
  </si>
  <si>
    <t>Fe</t>
  </si>
  <si>
    <t>BN_Ni</t>
  </si>
  <si>
    <t>BNNS_Nisheet</t>
  </si>
  <si>
    <t>Ni</t>
  </si>
  <si>
    <t>BCN_Al</t>
  </si>
  <si>
    <t>BCNNS_Alsheet</t>
  </si>
  <si>
    <t>BCN_Ga</t>
  </si>
  <si>
    <t>BCNNS_Gasheet</t>
  </si>
  <si>
    <t>BCN_Ni</t>
  </si>
  <si>
    <t>BCNNS_Nisheet</t>
  </si>
  <si>
    <t>BNC_Al</t>
  </si>
  <si>
    <t>BNCNC_Alcage</t>
  </si>
  <si>
    <t>BNC_Ga</t>
  </si>
  <si>
    <t>BNCNC_Gacage</t>
  </si>
  <si>
    <t>BNC_Au</t>
  </si>
  <si>
    <t>BNCNC_Aucage</t>
  </si>
  <si>
    <t>BNC_Ag</t>
  </si>
  <si>
    <t>BNCNC_Agcage</t>
  </si>
  <si>
    <t>Ag</t>
  </si>
  <si>
    <t>BNC_Cu</t>
  </si>
  <si>
    <t>BNCNC_Cucage</t>
  </si>
  <si>
    <t>BNC_Co</t>
  </si>
  <si>
    <t>BNCNC_Cocage</t>
  </si>
  <si>
    <t>BNC_Fe</t>
  </si>
  <si>
    <t>BNCNC_Fecage</t>
  </si>
  <si>
    <t>BNC_Ni</t>
  </si>
  <si>
    <t>BNCNC_Nicage</t>
  </si>
  <si>
    <t>BNC_Pt</t>
  </si>
  <si>
    <t>BNCNC_Ptcage</t>
  </si>
  <si>
    <t>Pt</t>
  </si>
  <si>
    <t>P-G</t>
  </si>
  <si>
    <t>Graphenesheet</t>
  </si>
  <si>
    <t>G-Al</t>
  </si>
  <si>
    <t>Graphene_Alsheet</t>
  </si>
  <si>
    <t>G-Ga</t>
  </si>
  <si>
    <t>Graphene_Gasheet</t>
  </si>
  <si>
    <t>P-FG</t>
  </si>
  <si>
    <t>Fluorographenesheet</t>
  </si>
  <si>
    <t>F-Al</t>
  </si>
  <si>
    <t>Fluorographen_Alsheet</t>
  </si>
  <si>
    <t>F-Ga</t>
  </si>
  <si>
    <t>Fluorographene_Gasheet</t>
  </si>
  <si>
    <t>G-Ni</t>
  </si>
  <si>
    <t>Graphene_Nisheet</t>
  </si>
  <si>
    <t>G-Ag</t>
  </si>
  <si>
    <t>Graphene_Agsheet</t>
  </si>
  <si>
    <t>G-Au</t>
  </si>
  <si>
    <t>Graphene_Ausheet</t>
  </si>
  <si>
    <t>G-Cu</t>
  </si>
  <si>
    <t>Graphene_Cusheet</t>
  </si>
  <si>
    <t>FG-Ni</t>
  </si>
  <si>
    <t>Fluorographene_Nisheet</t>
  </si>
  <si>
    <t>BN_Pristine1</t>
  </si>
  <si>
    <t>water</t>
  </si>
  <si>
    <t>BCN_Pristine1</t>
  </si>
  <si>
    <t>BCNNSsheet</t>
  </si>
  <si>
    <t>BNC_Pristine1</t>
  </si>
  <si>
    <t>BCNNCcage</t>
  </si>
  <si>
    <t>BN_Al1</t>
  </si>
  <si>
    <t>BN_Ga1</t>
  </si>
  <si>
    <t>BN_Au1</t>
  </si>
  <si>
    <t>BN_Cu1</t>
  </si>
  <si>
    <t>BN_Co1</t>
  </si>
  <si>
    <t>BN_Fe1</t>
  </si>
  <si>
    <t>BN_Ni1</t>
  </si>
  <si>
    <t>BCN_Al1</t>
  </si>
  <si>
    <t>BCN_Ga1</t>
  </si>
  <si>
    <t>BCN_Ni1</t>
  </si>
  <si>
    <t>BNC_Al1</t>
  </si>
  <si>
    <t>BNC_Ga1</t>
  </si>
  <si>
    <t>BNC_Au1</t>
  </si>
  <si>
    <t>BNC_Ag1</t>
  </si>
  <si>
    <t>BNC_Cu1</t>
  </si>
  <si>
    <t>BNC_Co1</t>
  </si>
  <si>
    <t>BNC_Fe1</t>
  </si>
  <si>
    <t>BNC_Ni1</t>
  </si>
  <si>
    <t>BNC_Pt1</t>
  </si>
  <si>
    <t>P-G1</t>
  </si>
  <si>
    <t>G-Al1</t>
  </si>
  <si>
    <t>G-Ga1</t>
  </si>
  <si>
    <t>P-FG1</t>
  </si>
  <si>
    <t>F-Al1</t>
  </si>
  <si>
    <t>F-Ga1</t>
  </si>
  <si>
    <t>G-Ni1</t>
  </si>
  <si>
    <t>G-Ag1</t>
  </si>
  <si>
    <t>G-Au1</t>
  </si>
  <si>
    <t>G-Cu1</t>
  </si>
  <si>
    <t>FG-Ni1</t>
  </si>
  <si>
    <t>BNNS_In</t>
  </si>
  <si>
    <t>BN sheet</t>
  </si>
  <si>
    <t>In</t>
  </si>
  <si>
    <t>BNNS_Thallium</t>
  </si>
  <si>
    <t>Thallium</t>
  </si>
  <si>
    <t>Water</t>
  </si>
  <si>
    <t>BCNNS_In</t>
  </si>
  <si>
    <t>BCNsheet</t>
  </si>
  <si>
    <t>BNCNC_In</t>
  </si>
  <si>
    <t>BNCcage</t>
  </si>
  <si>
    <t>BNCNC_Thallium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</si>
</sst>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11" fontId="0" fillId="0" borderId="1" xfId="0" applyNumberFormat="1" applyBorder="1"/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2" xfId="0" applyBorder="1"/>
    <xf numFmtId="0" fontId="4" fillId="0" borderId="1" xfId="0" applyFont="1" applyBorder="1"/>
    <xf numFmtId="0" fontId="0" fillId="2" borderId="1" xfId="0" applyFill="1" applyBorder="1"/>
    <xf numFmtId="0" fontId="0" fillId="0" borderId="3" xfId="0" applyBorder="1"/>
    <xf numFmtId="0" fontId="3" fillId="0" borderId="0" xfId="0" applyFont="1"/>
    <xf numFmtId="0" fontId="0" fillId="2" borderId="0" xfId="0" applyFill="1"/>
    <xf numFmtId="11" fontId="0" fillId="2" borderId="1" xfId="0" applyNumberForma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EE8A-45F1-4339-A9A7-7DF2D9DB2205}">
  <dimension ref="A1:S77"/>
  <sheetViews>
    <sheetView tabSelected="1" workbookViewId="0">
      <selection sqref="A1:S77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1" t="s">
        <v>19</v>
      </c>
      <c r="B2" s="1" t="s">
        <v>20</v>
      </c>
      <c r="C2" s="1" t="s">
        <v>21</v>
      </c>
      <c r="D2" s="1">
        <v>0</v>
      </c>
      <c r="E2" s="1" t="s">
        <v>22</v>
      </c>
      <c r="F2" s="1">
        <v>115</v>
      </c>
      <c r="G2" s="1" t="s">
        <v>23</v>
      </c>
      <c r="H2" s="1">
        <v>4.87</v>
      </c>
      <c r="I2" s="1">
        <v>-6.06</v>
      </c>
      <c r="J2" s="1">
        <v>-1.19</v>
      </c>
      <c r="K2" s="1">
        <v>4.87</v>
      </c>
      <c r="L2" s="1">
        <v>-2.1132999999999999E-2</v>
      </c>
      <c r="M2" s="2">
        <v>0.15670000000000001</v>
      </c>
      <c r="N2" s="1">
        <v>-0.26740000000000003</v>
      </c>
      <c r="O2" s="3">
        <v>3.3099999999999999E-8</v>
      </c>
      <c r="P2" s="1">
        <f>-(Q2)</f>
        <v>3.625</v>
      </c>
      <c r="Q2" s="1">
        <f>(I2+J2)/2</f>
        <v>-3.625</v>
      </c>
      <c r="R2" s="1">
        <f>K2/2</f>
        <v>2.4350000000000001</v>
      </c>
      <c r="S2" s="1">
        <f>(Q2*Q2)/(2*R2)</f>
        <v>2.6982802874743328</v>
      </c>
    </row>
    <row r="3" spans="1:19" x14ac:dyDescent="0.35">
      <c r="A3" s="1" t="s">
        <v>24</v>
      </c>
      <c r="B3" s="1" t="s">
        <v>25</v>
      </c>
      <c r="C3" s="1" t="s">
        <v>21</v>
      </c>
      <c r="D3" s="1">
        <v>0</v>
      </c>
      <c r="E3" s="1" t="s">
        <v>22</v>
      </c>
      <c r="F3" s="1">
        <v>115</v>
      </c>
      <c r="G3" s="1" t="s">
        <v>23</v>
      </c>
      <c r="H3" s="1">
        <v>1.57</v>
      </c>
      <c r="I3" s="1">
        <v>-2.11</v>
      </c>
      <c r="J3" s="1">
        <v>-1.39</v>
      </c>
      <c r="K3" s="1">
        <v>0.72</v>
      </c>
      <c r="L3" s="1">
        <v>-0.29759400000000003</v>
      </c>
      <c r="M3" s="2">
        <v>-0.40400000000000003</v>
      </c>
      <c r="N3" s="1">
        <v>-0.114</v>
      </c>
      <c r="O3" s="3">
        <v>8.3999999999999994E-11</v>
      </c>
      <c r="P3" s="1">
        <f t="shared" ref="P3:P66" si="0">-(Q3)</f>
        <v>1.75</v>
      </c>
      <c r="Q3" s="1">
        <f t="shared" ref="Q3:Q66" si="1">(I3+J3)/2</f>
        <v>-1.75</v>
      </c>
      <c r="R3" s="1">
        <f t="shared" ref="R3:R66" si="2">K3/2</f>
        <v>0.36</v>
      </c>
      <c r="S3" s="1">
        <f t="shared" ref="S3:S66" si="3">(Q3*Q3)/(2*R3)</f>
        <v>4.2534722222222223</v>
      </c>
    </row>
    <row r="4" spans="1:19" x14ac:dyDescent="0.35">
      <c r="A4" s="1" t="s">
        <v>26</v>
      </c>
      <c r="B4" s="1" t="s">
        <v>27</v>
      </c>
      <c r="C4" s="1" t="s">
        <v>21</v>
      </c>
      <c r="D4" s="1">
        <v>0</v>
      </c>
      <c r="E4" s="1" t="s">
        <v>22</v>
      </c>
      <c r="F4" s="1">
        <v>65</v>
      </c>
      <c r="G4" s="1" t="s">
        <v>23</v>
      </c>
      <c r="H4" s="1">
        <v>1.18</v>
      </c>
      <c r="I4" s="1">
        <v>-4.67</v>
      </c>
      <c r="J4" s="1">
        <v>-3.49</v>
      </c>
      <c r="K4" s="1">
        <v>1.18</v>
      </c>
      <c r="L4" s="1">
        <v>0.25080400000000003</v>
      </c>
      <c r="M4" s="4">
        <v>0.32440000000000002</v>
      </c>
      <c r="N4" s="1">
        <v>-1.073</v>
      </c>
      <c r="O4" s="3">
        <v>150000000</v>
      </c>
      <c r="P4" s="1">
        <f t="shared" si="0"/>
        <v>4.08</v>
      </c>
      <c r="Q4" s="1">
        <f t="shared" si="1"/>
        <v>-4.08</v>
      </c>
      <c r="R4" s="1">
        <f t="shared" si="2"/>
        <v>0.59</v>
      </c>
      <c r="S4" s="1">
        <f t="shared" si="3"/>
        <v>14.107118644067798</v>
      </c>
    </row>
    <row r="5" spans="1:19" x14ac:dyDescent="0.35">
      <c r="A5" s="1" t="s">
        <v>28</v>
      </c>
      <c r="B5" s="1" t="s">
        <v>29</v>
      </c>
      <c r="C5" s="1" t="s">
        <v>30</v>
      </c>
      <c r="D5" s="1">
        <v>1</v>
      </c>
      <c r="E5" s="1" t="s">
        <v>22</v>
      </c>
      <c r="F5" s="1">
        <v>115</v>
      </c>
      <c r="G5" s="1" t="s">
        <v>23</v>
      </c>
      <c r="H5" s="1">
        <v>4.9800000000000004</v>
      </c>
      <c r="I5" s="5">
        <v>-6.15</v>
      </c>
      <c r="J5" s="6">
        <v>-1.17</v>
      </c>
      <c r="K5" s="6">
        <v>4.9800000000000004</v>
      </c>
      <c r="L5" s="1">
        <v>-1.3991999999999999E-2</v>
      </c>
      <c r="M5" s="7">
        <v>1.932E-2</v>
      </c>
      <c r="N5" s="1">
        <v>-0.2482</v>
      </c>
      <c r="O5" s="3">
        <v>1.5700000000000002E-8</v>
      </c>
      <c r="P5" s="1">
        <f t="shared" si="0"/>
        <v>3.66</v>
      </c>
      <c r="Q5" s="1">
        <f t="shared" si="1"/>
        <v>-3.66</v>
      </c>
      <c r="R5" s="1">
        <f t="shared" si="2"/>
        <v>2.4900000000000002</v>
      </c>
      <c r="S5" s="1">
        <f t="shared" si="3"/>
        <v>2.6898795180722894</v>
      </c>
    </row>
    <row r="6" spans="1:19" x14ac:dyDescent="0.35">
      <c r="A6" s="1" t="s">
        <v>31</v>
      </c>
      <c r="B6" s="1" t="s">
        <v>32</v>
      </c>
      <c r="C6" s="1" t="s">
        <v>33</v>
      </c>
      <c r="D6" s="1">
        <v>1</v>
      </c>
      <c r="E6" s="1" t="s">
        <v>22</v>
      </c>
      <c r="F6" s="1">
        <v>115</v>
      </c>
      <c r="G6" s="1" t="s">
        <v>23</v>
      </c>
      <c r="H6" s="1">
        <v>4.96</v>
      </c>
      <c r="I6" s="5">
        <v>-6.19</v>
      </c>
      <c r="J6" s="6">
        <v>-1.23</v>
      </c>
      <c r="K6" s="6">
        <v>4.96</v>
      </c>
      <c r="L6" s="1">
        <v>2.3796000000000001E-2</v>
      </c>
      <c r="M6" s="7">
        <v>2.657E-2</v>
      </c>
      <c r="N6" s="1">
        <v>-0.17660000000000001</v>
      </c>
      <c r="O6" s="3">
        <v>9.6700000000000007E-10</v>
      </c>
      <c r="P6" s="1">
        <f t="shared" si="0"/>
        <v>3.71</v>
      </c>
      <c r="Q6" s="1">
        <f t="shared" si="1"/>
        <v>-3.71</v>
      </c>
      <c r="R6" s="1">
        <f t="shared" si="2"/>
        <v>2.48</v>
      </c>
      <c r="S6" s="1">
        <f t="shared" si="3"/>
        <v>2.7750201612903225</v>
      </c>
    </row>
    <row r="7" spans="1:19" x14ac:dyDescent="0.35">
      <c r="A7" s="1" t="s">
        <v>34</v>
      </c>
      <c r="B7" s="1" t="s">
        <v>35</v>
      </c>
      <c r="C7" s="1" t="s">
        <v>36</v>
      </c>
      <c r="D7" s="1">
        <v>1</v>
      </c>
      <c r="E7" s="1" t="s">
        <v>22</v>
      </c>
      <c r="F7" s="1">
        <v>115</v>
      </c>
      <c r="G7" s="1" t="s">
        <v>23</v>
      </c>
      <c r="H7" s="1">
        <v>2.2200000000000002</v>
      </c>
      <c r="I7" s="1">
        <v>-5.53</v>
      </c>
      <c r="J7" s="1">
        <v>-3.79</v>
      </c>
      <c r="K7" s="1">
        <f t="shared" ref="K7:K8" si="4">J7-I7</f>
        <v>1.7400000000000002</v>
      </c>
      <c r="L7" s="1">
        <v>7.4376999999999999E-2</v>
      </c>
      <c r="M7" s="1">
        <v>0.18378</v>
      </c>
      <c r="N7" s="1">
        <v>-0.77669999999999995</v>
      </c>
      <c r="O7" s="1">
        <v>13</v>
      </c>
      <c r="P7" s="1">
        <f t="shared" si="0"/>
        <v>4.66</v>
      </c>
      <c r="Q7" s="1">
        <f t="shared" si="1"/>
        <v>-4.66</v>
      </c>
      <c r="R7" s="1">
        <f t="shared" si="2"/>
        <v>0.87000000000000011</v>
      </c>
      <c r="S7" s="1">
        <f t="shared" si="3"/>
        <v>12.48022988505747</v>
      </c>
    </row>
    <row r="8" spans="1:19" x14ac:dyDescent="0.35">
      <c r="A8" s="1" t="s">
        <v>37</v>
      </c>
      <c r="B8" s="1" t="s">
        <v>38</v>
      </c>
      <c r="C8" s="1" t="s">
        <v>39</v>
      </c>
      <c r="D8" s="1">
        <v>1</v>
      </c>
      <c r="E8" s="1" t="s">
        <v>22</v>
      </c>
      <c r="F8" s="1">
        <v>115</v>
      </c>
      <c r="G8" s="1" t="s">
        <v>23</v>
      </c>
      <c r="H8" s="1">
        <v>2.04</v>
      </c>
      <c r="I8" s="1">
        <v>-6.08</v>
      </c>
      <c r="J8" s="1">
        <v>-4.3499999999999996</v>
      </c>
      <c r="K8" s="1">
        <f t="shared" si="4"/>
        <v>1.7300000000000004</v>
      </c>
      <c r="L8" s="1">
        <v>4.4049999999999999E-2</v>
      </c>
      <c r="M8" s="1">
        <v>0.21312</v>
      </c>
      <c r="N8" s="1">
        <v>-1.2270000000000001</v>
      </c>
      <c r="O8" s="3">
        <v>100000000</v>
      </c>
      <c r="P8" s="1">
        <f t="shared" si="0"/>
        <v>5.2149999999999999</v>
      </c>
      <c r="Q8" s="1">
        <f t="shared" si="1"/>
        <v>-5.2149999999999999</v>
      </c>
      <c r="R8" s="1">
        <f t="shared" si="2"/>
        <v>0.86500000000000021</v>
      </c>
      <c r="S8" s="1">
        <f t="shared" si="3"/>
        <v>15.720361271676296</v>
      </c>
    </row>
    <row r="9" spans="1:19" x14ac:dyDescent="0.35">
      <c r="A9" s="1" t="s">
        <v>40</v>
      </c>
      <c r="B9" s="1" t="s">
        <v>41</v>
      </c>
      <c r="C9" s="1" t="s">
        <v>42</v>
      </c>
      <c r="D9" s="1">
        <v>1</v>
      </c>
      <c r="E9" s="1" t="s">
        <v>22</v>
      </c>
      <c r="F9" s="1">
        <v>115</v>
      </c>
      <c r="G9" s="1" t="s">
        <v>23</v>
      </c>
      <c r="H9" s="1">
        <v>2.11</v>
      </c>
      <c r="I9" s="1">
        <v>-6.23</v>
      </c>
      <c r="J9" s="1">
        <v>-2.79</v>
      </c>
      <c r="K9" s="1">
        <f>J9-I9</f>
        <v>3.4400000000000004</v>
      </c>
      <c r="L9" s="1">
        <v>0.34120200000000001</v>
      </c>
      <c r="M9" s="1">
        <v>0.23028999999999999</v>
      </c>
      <c r="N9" s="1">
        <v>-0.8216</v>
      </c>
      <c r="O9" s="1">
        <v>84</v>
      </c>
      <c r="P9" s="1">
        <f t="shared" si="0"/>
        <v>4.51</v>
      </c>
      <c r="Q9" s="1">
        <f t="shared" si="1"/>
        <v>-4.51</v>
      </c>
      <c r="R9" s="1">
        <f t="shared" si="2"/>
        <v>1.7200000000000002</v>
      </c>
      <c r="S9" s="1">
        <f t="shared" si="3"/>
        <v>5.9128197674418601</v>
      </c>
    </row>
    <row r="10" spans="1:19" x14ac:dyDescent="0.35">
      <c r="A10" s="1" t="s">
        <v>43</v>
      </c>
      <c r="B10" s="1" t="s">
        <v>44</v>
      </c>
      <c r="C10" s="1" t="s">
        <v>45</v>
      </c>
      <c r="D10" s="1">
        <v>1</v>
      </c>
      <c r="E10" s="1" t="s">
        <v>22</v>
      </c>
      <c r="F10" s="1">
        <v>115</v>
      </c>
      <c r="G10" s="1" t="s">
        <v>23</v>
      </c>
      <c r="H10" s="1">
        <v>2.12</v>
      </c>
      <c r="I10" s="1">
        <v>-6.11</v>
      </c>
      <c r="J10" s="1">
        <v>-2.42</v>
      </c>
      <c r="K10" s="1">
        <f t="shared" ref="K10:K11" si="5">J10-I10</f>
        <v>3.6900000000000004</v>
      </c>
      <c r="L10" s="1">
        <v>0.28866599999999998</v>
      </c>
      <c r="M10" s="1">
        <v>0.1981</v>
      </c>
      <c r="N10" s="1">
        <v>-1.2110000000000001</v>
      </c>
      <c r="O10" s="3">
        <v>60000000</v>
      </c>
      <c r="P10" s="1">
        <f t="shared" si="0"/>
        <v>4.2650000000000006</v>
      </c>
      <c r="Q10" s="1">
        <f t="shared" si="1"/>
        <v>-4.2650000000000006</v>
      </c>
      <c r="R10" s="1">
        <f t="shared" si="2"/>
        <v>1.8450000000000002</v>
      </c>
      <c r="S10" s="1">
        <f t="shared" si="3"/>
        <v>4.9296002710027107</v>
      </c>
    </row>
    <row r="11" spans="1:19" x14ac:dyDescent="0.35">
      <c r="A11" s="1" t="s">
        <v>46</v>
      </c>
      <c r="B11" s="1" t="s">
        <v>47</v>
      </c>
      <c r="C11" s="1" t="s">
        <v>48</v>
      </c>
      <c r="D11" s="1">
        <v>1</v>
      </c>
      <c r="E11" s="1" t="s">
        <v>22</v>
      </c>
      <c r="F11" s="1">
        <v>115</v>
      </c>
      <c r="G11" s="1" t="s">
        <v>23</v>
      </c>
      <c r="H11" s="1">
        <v>2.08</v>
      </c>
      <c r="I11" s="1">
        <v>-6.13</v>
      </c>
      <c r="J11" s="1">
        <v>-4.09</v>
      </c>
      <c r="K11" s="1">
        <f t="shared" si="5"/>
        <v>2.04</v>
      </c>
      <c r="L11" s="1">
        <v>0.27614699999999998</v>
      </c>
      <c r="M11" s="1">
        <v>0.17252000000000001</v>
      </c>
      <c r="N11" s="1">
        <v>-0.89400000000000002</v>
      </c>
      <c r="O11" s="1">
        <v>1310</v>
      </c>
      <c r="P11" s="1">
        <f t="shared" si="0"/>
        <v>5.1099999999999994</v>
      </c>
      <c r="Q11" s="1">
        <f t="shared" si="1"/>
        <v>-5.1099999999999994</v>
      </c>
      <c r="R11" s="1">
        <f t="shared" si="2"/>
        <v>1.02</v>
      </c>
      <c r="S11" s="1">
        <f t="shared" si="3"/>
        <v>12.80004901960784</v>
      </c>
    </row>
    <row r="12" spans="1:19" x14ac:dyDescent="0.35">
      <c r="A12" s="1" t="s">
        <v>49</v>
      </c>
      <c r="B12" s="1" t="s">
        <v>50</v>
      </c>
      <c r="C12" s="1" t="s">
        <v>30</v>
      </c>
      <c r="D12" s="1">
        <v>1</v>
      </c>
      <c r="E12" s="1" t="s">
        <v>22</v>
      </c>
      <c r="F12" s="1">
        <v>115</v>
      </c>
      <c r="G12" s="1" t="s">
        <v>23</v>
      </c>
      <c r="H12" s="1">
        <v>2.92</v>
      </c>
      <c r="I12" s="8">
        <v>-2.66</v>
      </c>
      <c r="J12" s="1">
        <v>-2.06</v>
      </c>
      <c r="K12" s="1">
        <v>0.6</v>
      </c>
      <c r="L12" s="1">
        <v>-0.26176199999999999</v>
      </c>
      <c r="M12" s="7">
        <v>-0.42181000000000002</v>
      </c>
      <c r="N12" s="1">
        <v>-0.66490000000000005</v>
      </c>
      <c r="O12" s="1">
        <v>0.1736</v>
      </c>
      <c r="P12" s="1">
        <f t="shared" si="0"/>
        <v>2.3600000000000003</v>
      </c>
      <c r="Q12" s="1">
        <f t="shared" si="1"/>
        <v>-2.3600000000000003</v>
      </c>
      <c r="R12" s="1">
        <f t="shared" si="2"/>
        <v>0.3</v>
      </c>
      <c r="S12" s="1">
        <f t="shared" si="3"/>
        <v>9.2826666666666693</v>
      </c>
    </row>
    <row r="13" spans="1:19" x14ac:dyDescent="0.35">
      <c r="A13" s="1" t="s">
        <v>51</v>
      </c>
      <c r="B13" s="1" t="s">
        <v>52</v>
      </c>
      <c r="C13" s="1" t="s">
        <v>33</v>
      </c>
      <c r="D13" s="1">
        <v>1</v>
      </c>
      <c r="E13" s="1" t="s">
        <v>22</v>
      </c>
      <c r="F13" s="1">
        <v>115</v>
      </c>
      <c r="G13" s="1" t="s">
        <v>23</v>
      </c>
      <c r="H13" s="1">
        <v>2.83</v>
      </c>
      <c r="I13" s="5">
        <v>-2.67</v>
      </c>
      <c r="J13" s="6">
        <v>-2.06</v>
      </c>
      <c r="K13" s="6">
        <v>0.61</v>
      </c>
      <c r="L13" s="1">
        <v>-5.2740000000000002E-2</v>
      </c>
      <c r="M13" s="7">
        <v>-2.3089999999999999E-2</v>
      </c>
      <c r="N13" s="1">
        <v>-0.3634</v>
      </c>
      <c r="O13" s="3">
        <v>1.3799999999999999E-6</v>
      </c>
      <c r="P13" s="1">
        <f t="shared" si="0"/>
        <v>2.3650000000000002</v>
      </c>
      <c r="Q13" s="1">
        <f t="shared" si="1"/>
        <v>-2.3650000000000002</v>
      </c>
      <c r="R13" s="1">
        <f t="shared" si="2"/>
        <v>0.30499999999999999</v>
      </c>
      <c r="S13" s="1">
        <f t="shared" si="3"/>
        <v>9.1692213114754129</v>
      </c>
    </row>
    <row r="14" spans="1:19" x14ac:dyDescent="0.35">
      <c r="A14" s="1" t="s">
        <v>53</v>
      </c>
      <c r="B14" s="1" t="s">
        <v>54</v>
      </c>
      <c r="C14" s="1" t="s">
        <v>48</v>
      </c>
      <c r="D14" s="1">
        <v>1</v>
      </c>
      <c r="E14" s="1" t="s">
        <v>22</v>
      </c>
      <c r="F14" s="1">
        <v>115</v>
      </c>
      <c r="G14" s="1" t="s">
        <v>23</v>
      </c>
      <c r="H14" s="1">
        <v>2.6</v>
      </c>
      <c r="I14" s="1">
        <v>-2.97</v>
      </c>
      <c r="J14" s="1">
        <v>-1.51</v>
      </c>
      <c r="K14" s="1">
        <f>J14-I14</f>
        <v>1.4600000000000002</v>
      </c>
      <c r="L14" s="1">
        <v>5.5909E-2</v>
      </c>
      <c r="M14" s="1">
        <v>-2.043E-2</v>
      </c>
      <c r="N14" s="1">
        <v>-0.91490000000000005</v>
      </c>
      <c r="O14" s="3">
        <v>2970</v>
      </c>
      <c r="P14" s="1">
        <f t="shared" si="0"/>
        <v>2.2400000000000002</v>
      </c>
      <c r="Q14" s="1">
        <f t="shared" si="1"/>
        <v>-2.2400000000000002</v>
      </c>
      <c r="R14" s="1">
        <f t="shared" si="2"/>
        <v>0.73000000000000009</v>
      </c>
      <c r="S14" s="1">
        <f t="shared" si="3"/>
        <v>3.4367123287671233</v>
      </c>
    </row>
    <row r="15" spans="1:19" x14ac:dyDescent="0.35">
      <c r="A15" s="1" t="s">
        <v>55</v>
      </c>
      <c r="B15" s="1" t="s">
        <v>56</v>
      </c>
      <c r="C15" s="1" t="s">
        <v>30</v>
      </c>
      <c r="D15" s="1">
        <v>1</v>
      </c>
      <c r="E15" s="1" t="s">
        <v>22</v>
      </c>
      <c r="F15" s="1">
        <v>65</v>
      </c>
      <c r="G15" s="1" t="s">
        <v>23</v>
      </c>
      <c r="H15" s="1">
        <v>1.0900000000000001</v>
      </c>
      <c r="I15" s="5">
        <v>-5.01</v>
      </c>
      <c r="J15" s="6">
        <v>-3.92</v>
      </c>
      <c r="K15" s="6">
        <v>1.0900000000000001</v>
      </c>
      <c r="L15" s="1">
        <v>0.132717</v>
      </c>
      <c r="M15" s="7">
        <v>0.15642</v>
      </c>
      <c r="N15" s="1">
        <v>-2.0339999999999998</v>
      </c>
      <c r="O15" s="3">
        <v>2.4700000000000001E+22</v>
      </c>
      <c r="P15" s="1">
        <f t="shared" si="0"/>
        <v>4.4649999999999999</v>
      </c>
      <c r="Q15" s="1">
        <f t="shared" si="1"/>
        <v>-4.4649999999999999</v>
      </c>
      <c r="R15" s="1">
        <f t="shared" si="2"/>
        <v>0.54500000000000004</v>
      </c>
      <c r="S15" s="1">
        <f t="shared" si="3"/>
        <v>18.29011467889908</v>
      </c>
    </row>
    <row r="16" spans="1:19" x14ac:dyDescent="0.35">
      <c r="A16" s="1" t="s">
        <v>57</v>
      </c>
      <c r="B16" s="1" t="s">
        <v>58</v>
      </c>
      <c r="C16" s="1" t="s">
        <v>33</v>
      </c>
      <c r="D16" s="1">
        <v>1</v>
      </c>
      <c r="E16" s="1" t="s">
        <v>22</v>
      </c>
      <c r="F16" s="1">
        <v>65</v>
      </c>
      <c r="G16" s="1" t="s">
        <v>23</v>
      </c>
      <c r="H16" s="1">
        <v>1.2</v>
      </c>
      <c r="I16" s="5">
        <v>-4.17</v>
      </c>
      <c r="J16" s="6">
        <v>-2.97</v>
      </c>
      <c r="K16" s="6">
        <v>1.2</v>
      </c>
      <c r="L16" s="1">
        <v>0.21365799999999999</v>
      </c>
      <c r="M16" s="7">
        <v>0.20943000000000001</v>
      </c>
      <c r="N16" s="1">
        <v>-1.7150000000000001</v>
      </c>
      <c r="O16" s="3">
        <v>9.79E+16</v>
      </c>
      <c r="P16" s="1">
        <f t="shared" si="0"/>
        <v>3.5700000000000003</v>
      </c>
      <c r="Q16" s="1">
        <f t="shared" si="1"/>
        <v>-3.5700000000000003</v>
      </c>
      <c r="R16" s="1">
        <f t="shared" si="2"/>
        <v>0.6</v>
      </c>
      <c r="S16" s="1">
        <f t="shared" si="3"/>
        <v>10.620750000000001</v>
      </c>
    </row>
    <row r="17" spans="1:19" x14ac:dyDescent="0.35">
      <c r="A17" s="1" t="s">
        <v>59</v>
      </c>
      <c r="B17" s="1" t="s">
        <v>60</v>
      </c>
      <c r="C17" s="1" t="s">
        <v>36</v>
      </c>
      <c r="D17" s="1">
        <v>1</v>
      </c>
      <c r="E17" s="1" t="s">
        <v>22</v>
      </c>
      <c r="F17" s="1">
        <v>65</v>
      </c>
      <c r="G17" s="1" t="s">
        <v>23</v>
      </c>
      <c r="H17" s="1">
        <v>2.17</v>
      </c>
      <c r="I17" s="1">
        <v>-5.69</v>
      </c>
      <c r="J17" s="1">
        <v>-3.92</v>
      </c>
      <c r="K17" s="1">
        <f>J17-I17</f>
        <v>1.7700000000000005</v>
      </c>
      <c r="L17" s="1">
        <v>0.35069400000000001</v>
      </c>
      <c r="M17" s="9">
        <v>0.12482</v>
      </c>
      <c r="N17" s="1">
        <v>-1.28</v>
      </c>
      <c r="O17" s="3">
        <v>4450000000</v>
      </c>
      <c r="P17" s="1">
        <f t="shared" si="0"/>
        <v>4.8049999999999997</v>
      </c>
      <c r="Q17" s="1">
        <f t="shared" si="1"/>
        <v>-4.8049999999999997</v>
      </c>
      <c r="R17" s="1">
        <f t="shared" si="2"/>
        <v>0.88500000000000023</v>
      </c>
      <c r="S17" s="1">
        <f t="shared" si="3"/>
        <v>13.044081920903951</v>
      </c>
    </row>
    <row r="18" spans="1:19" x14ac:dyDescent="0.35">
      <c r="A18" s="1" t="s">
        <v>61</v>
      </c>
      <c r="B18" s="1" t="s">
        <v>62</v>
      </c>
      <c r="C18" s="1" t="s">
        <v>63</v>
      </c>
      <c r="D18" s="1">
        <v>1</v>
      </c>
      <c r="E18" s="1" t="s">
        <v>22</v>
      </c>
      <c r="F18" s="1">
        <v>65</v>
      </c>
      <c r="G18" s="1" t="s">
        <v>23</v>
      </c>
      <c r="H18" s="1">
        <v>2.2400000000000002</v>
      </c>
      <c r="I18" s="1">
        <v>-5.58</v>
      </c>
      <c r="J18" s="1">
        <v>-4.1100000000000003</v>
      </c>
      <c r="K18" s="1">
        <f t="shared" ref="K18:K23" si="6">J18-I18</f>
        <v>1.4699999999999998</v>
      </c>
      <c r="L18" s="1">
        <v>0.19320000000000001</v>
      </c>
      <c r="M18" s="9">
        <v>9.2069999999999999E-2</v>
      </c>
      <c r="N18" s="1">
        <v>-0.9</v>
      </c>
      <c r="O18" s="1">
        <v>1665</v>
      </c>
      <c r="P18" s="1">
        <f t="shared" si="0"/>
        <v>4.8450000000000006</v>
      </c>
      <c r="Q18" s="1">
        <f t="shared" si="1"/>
        <v>-4.8450000000000006</v>
      </c>
      <c r="R18" s="1">
        <f t="shared" si="2"/>
        <v>0.73499999999999988</v>
      </c>
      <c r="S18" s="1">
        <f t="shared" si="3"/>
        <v>15.968724489795925</v>
      </c>
    </row>
    <row r="19" spans="1:19" x14ac:dyDescent="0.35">
      <c r="A19" s="1" t="s">
        <v>64</v>
      </c>
      <c r="B19" s="1" t="s">
        <v>65</v>
      </c>
      <c r="C19" s="1" t="s">
        <v>39</v>
      </c>
      <c r="D19" s="1">
        <v>1</v>
      </c>
      <c r="E19" s="1" t="s">
        <v>22</v>
      </c>
      <c r="F19" s="1">
        <v>65</v>
      </c>
      <c r="G19" s="1" t="s">
        <v>23</v>
      </c>
      <c r="H19" s="1">
        <v>5.48</v>
      </c>
      <c r="I19" s="1">
        <v>-5.94</v>
      </c>
      <c r="J19" s="1">
        <v>-4.67</v>
      </c>
      <c r="K19" s="1">
        <f t="shared" si="6"/>
        <v>1.2700000000000005</v>
      </c>
      <c r="L19" s="1">
        <v>0.41727900000000001</v>
      </c>
      <c r="M19" s="9">
        <v>3.7499999999999999E-2</v>
      </c>
      <c r="N19" s="10">
        <v>-0.18</v>
      </c>
      <c r="O19" s="3">
        <v>1.1100000000000001E-9</v>
      </c>
      <c r="P19" s="1">
        <f t="shared" si="0"/>
        <v>5.3049999999999997</v>
      </c>
      <c r="Q19" s="1">
        <f t="shared" si="1"/>
        <v>-5.3049999999999997</v>
      </c>
      <c r="R19" s="1">
        <f t="shared" si="2"/>
        <v>0.63500000000000023</v>
      </c>
      <c r="S19" s="1">
        <f t="shared" si="3"/>
        <v>22.159862204724401</v>
      </c>
    </row>
    <row r="20" spans="1:19" x14ac:dyDescent="0.35">
      <c r="A20" s="1" t="s">
        <v>66</v>
      </c>
      <c r="B20" s="1" t="s">
        <v>67</v>
      </c>
      <c r="C20" s="1" t="s">
        <v>42</v>
      </c>
      <c r="D20" s="1">
        <v>1</v>
      </c>
      <c r="E20" s="1" t="s">
        <v>22</v>
      </c>
      <c r="F20" s="1">
        <v>65</v>
      </c>
      <c r="G20" s="1" t="s">
        <v>23</v>
      </c>
      <c r="H20" s="1">
        <v>1.95</v>
      </c>
      <c r="I20" s="1">
        <v>-4.57</v>
      </c>
      <c r="J20" s="1">
        <v>-3.55</v>
      </c>
      <c r="K20" s="1">
        <f t="shared" si="6"/>
        <v>1.0200000000000005</v>
      </c>
      <c r="L20" s="1">
        <v>0.27525500000000003</v>
      </c>
      <c r="M20" s="9">
        <v>0.21367</v>
      </c>
      <c r="N20" s="1">
        <v>-1.39</v>
      </c>
      <c r="O20" s="3">
        <v>323000000000</v>
      </c>
      <c r="P20" s="1">
        <f t="shared" si="0"/>
        <v>4.0600000000000005</v>
      </c>
      <c r="Q20" s="1">
        <f t="shared" si="1"/>
        <v>-4.0600000000000005</v>
      </c>
      <c r="R20" s="1">
        <f t="shared" si="2"/>
        <v>0.51000000000000023</v>
      </c>
      <c r="S20" s="1">
        <f t="shared" si="3"/>
        <v>16.160392156862741</v>
      </c>
    </row>
    <row r="21" spans="1:19" x14ac:dyDescent="0.35">
      <c r="A21" s="1" t="s">
        <v>68</v>
      </c>
      <c r="B21" s="1" t="s">
        <v>69</v>
      </c>
      <c r="C21" s="1" t="s">
        <v>45</v>
      </c>
      <c r="D21" s="1">
        <v>1</v>
      </c>
      <c r="E21" s="1" t="s">
        <v>22</v>
      </c>
      <c r="F21" s="1">
        <v>65</v>
      </c>
      <c r="G21" s="1" t="s">
        <v>23</v>
      </c>
      <c r="H21" s="1">
        <v>2.12</v>
      </c>
      <c r="I21" s="1">
        <v>-5.22</v>
      </c>
      <c r="J21" s="1">
        <v>-3.41</v>
      </c>
      <c r="K21" s="1">
        <f t="shared" si="6"/>
        <v>1.8099999999999996</v>
      </c>
      <c r="L21" s="1">
        <v>0.41791800000000001</v>
      </c>
      <c r="M21" s="9">
        <v>0.33501999999999998</v>
      </c>
      <c r="N21" s="1">
        <v>-1.56</v>
      </c>
      <c r="O21" s="3">
        <v>242000000000000</v>
      </c>
      <c r="P21" s="1">
        <f t="shared" si="0"/>
        <v>4.3149999999999995</v>
      </c>
      <c r="Q21" s="1">
        <f t="shared" si="1"/>
        <v>-4.3149999999999995</v>
      </c>
      <c r="R21" s="1">
        <f t="shared" si="2"/>
        <v>0.9049999999999998</v>
      </c>
      <c r="S21" s="1">
        <f t="shared" si="3"/>
        <v>10.286864640883978</v>
      </c>
    </row>
    <row r="22" spans="1:19" x14ac:dyDescent="0.35">
      <c r="A22" s="1" t="s">
        <v>70</v>
      </c>
      <c r="B22" s="1" t="s">
        <v>71</v>
      </c>
      <c r="C22" s="1" t="s">
        <v>48</v>
      </c>
      <c r="D22" s="1">
        <v>1</v>
      </c>
      <c r="E22" s="1" t="s">
        <v>22</v>
      </c>
      <c r="F22" s="1">
        <v>65</v>
      </c>
      <c r="G22" s="1" t="s">
        <v>23</v>
      </c>
      <c r="H22" s="1">
        <v>2.0099999999999998</v>
      </c>
      <c r="I22" s="1">
        <v>-5.43</v>
      </c>
      <c r="J22" s="1">
        <v>-3.23</v>
      </c>
      <c r="K22" s="1">
        <f t="shared" si="6"/>
        <v>2.1999999999999997</v>
      </c>
      <c r="L22" s="1">
        <v>0.32610299999999998</v>
      </c>
      <c r="M22" s="9">
        <v>0.12908</v>
      </c>
      <c r="N22" s="1">
        <v>-0.81</v>
      </c>
      <c r="O22" s="1">
        <v>50</v>
      </c>
      <c r="P22" s="1">
        <f t="shared" si="0"/>
        <v>4.33</v>
      </c>
      <c r="Q22" s="1">
        <f t="shared" si="1"/>
        <v>-4.33</v>
      </c>
      <c r="R22" s="1">
        <f t="shared" si="2"/>
        <v>1.0999999999999999</v>
      </c>
      <c r="S22" s="1">
        <f t="shared" si="3"/>
        <v>8.5222272727272728</v>
      </c>
    </row>
    <row r="23" spans="1:19" x14ac:dyDescent="0.35">
      <c r="A23" s="1" t="s">
        <v>72</v>
      </c>
      <c r="B23" s="1" t="s">
        <v>73</v>
      </c>
      <c r="C23" s="1" t="s">
        <v>74</v>
      </c>
      <c r="D23" s="1">
        <v>1</v>
      </c>
      <c r="E23" s="1" t="s">
        <v>22</v>
      </c>
      <c r="F23" s="1">
        <v>65</v>
      </c>
      <c r="G23" s="1" t="s">
        <v>23</v>
      </c>
      <c r="H23" s="1">
        <v>2.2200000000000002</v>
      </c>
      <c r="I23" s="1">
        <v>-5.51</v>
      </c>
      <c r="J23" s="1">
        <v>-3.68</v>
      </c>
      <c r="K23" s="1">
        <f t="shared" si="6"/>
        <v>1.8299999999999996</v>
      </c>
      <c r="L23" s="1">
        <v>0.27235599999999999</v>
      </c>
      <c r="M23" s="9">
        <v>0.16797000000000001</v>
      </c>
      <c r="N23" s="1">
        <v>-1.32</v>
      </c>
      <c r="O23" s="3">
        <v>211000000000</v>
      </c>
      <c r="P23" s="1">
        <f t="shared" si="0"/>
        <v>4.5949999999999998</v>
      </c>
      <c r="Q23" s="1">
        <f t="shared" si="1"/>
        <v>-4.5949999999999998</v>
      </c>
      <c r="R23" s="1">
        <f t="shared" si="2"/>
        <v>0.91499999999999981</v>
      </c>
      <c r="S23" s="1">
        <f t="shared" si="3"/>
        <v>11.537718579234975</v>
      </c>
    </row>
    <row r="24" spans="1:19" x14ac:dyDescent="0.35">
      <c r="A24" s="1" t="s">
        <v>75</v>
      </c>
      <c r="B24" s="1" t="s">
        <v>76</v>
      </c>
      <c r="C24" s="1" t="s">
        <v>21</v>
      </c>
      <c r="D24" s="1">
        <v>0</v>
      </c>
      <c r="E24" s="1" t="s">
        <v>22</v>
      </c>
      <c r="F24" s="1">
        <v>95</v>
      </c>
      <c r="G24" s="1" t="s">
        <v>23</v>
      </c>
      <c r="H24" s="1">
        <v>3.69</v>
      </c>
      <c r="I24" s="1">
        <v>-5.25</v>
      </c>
      <c r="J24" s="1">
        <v>-2.71</v>
      </c>
      <c r="K24" s="1">
        <v>2.54</v>
      </c>
      <c r="L24" s="1">
        <v>3.1220000000000002E-3</v>
      </c>
      <c r="M24" s="1">
        <v>-2.9999999999999997E-4</v>
      </c>
      <c r="N24" s="1">
        <v>-0.16</v>
      </c>
      <c r="O24" s="3">
        <v>5.1E-10</v>
      </c>
      <c r="P24" s="1">
        <f t="shared" si="0"/>
        <v>3.98</v>
      </c>
      <c r="Q24" s="1">
        <f t="shared" si="1"/>
        <v>-3.98</v>
      </c>
      <c r="R24" s="1">
        <f t="shared" si="2"/>
        <v>1.27</v>
      </c>
      <c r="S24" s="1">
        <f t="shared" si="3"/>
        <v>6.2363779527559053</v>
      </c>
    </row>
    <row r="25" spans="1:19" x14ac:dyDescent="0.35">
      <c r="A25" s="1" t="s">
        <v>77</v>
      </c>
      <c r="B25" s="1" t="s">
        <v>78</v>
      </c>
      <c r="C25" s="1" t="s">
        <v>30</v>
      </c>
      <c r="D25" s="1">
        <v>1</v>
      </c>
      <c r="E25" s="1" t="s">
        <v>22</v>
      </c>
      <c r="F25" s="1">
        <v>95</v>
      </c>
      <c r="G25" s="1" t="s">
        <v>23</v>
      </c>
      <c r="H25" s="1">
        <v>2.63</v>
      </c>
      <c r="I25" s="1">
        <v>-5.41</v>
      </c>
      <c r="J25" s="1">
        <v>-3.35</v>
      </c>
      <c r="K25" s="1">
        <v>2.06</v>
      </c>
      <c r="L25" s="1">
        <v>-1.9522000000000001E-2</v>
      </c>
      <c r="M25" s="1">
        <v>1.4840000000000001E-2</v>
      </c>
      <c r="N25" s="1">
        <v>-0.41</v>
      </c>
      <c r="O25" s="3">
        <v>9.5000000000000004E-8</v>
      </c>
      <c r="P25" s="1">
        <f t="shared" si="0"/>
        <v>4.38</v>
      </c>
      <c r="Q25" s="1">
        <f t="shared" si="1"/>
        <v>-4.38</v>
      </c>
      <c r="R25" s="1">
        <f t="shared" si="2"/>
        <v>1.03</v>
      </c>
      <c r="S25" s="1">
        <f t="shared" si="3"/>
        <v>9.3128155339805829</v>
      </c>
    </row>
    <row r="26" spans="1:19" x14ac:dyDescent="0.35">
      <c r="A26" s="1" t="s">
        <v>79</v>
      </c>
      <c r="B26" s="1" t="s">
        <v>80</v>
      </c>
      <c r="C26" s="1" t="s">
        <v>33</v>
      </c>
      <c r="D26" s="1">
        <v>1</v>
      </c>
      <c r="E26" s="1" t="s">
        <v>22</v>
      </c>
      <c r="F26" s="1">
        <v>95</v>
      </c>
      <c r="G26" s="1" t="s">
        <v>23</v>
      </c>
      <c r="H26" s="1">
        <v>2.71</v>
      </c>
      <c r="I26" s="1">
        <v>-5.45</v>
      </c>
      <c r="J26" s="1">
        <v>-3.45</v>
      </c>
      <c r="K26" s="1">
        <v>2</v>
      </c>
      <c r="L26" s="1">
        <v>6.2600000000000004E-4</v>
      </c>
      <c r="M26" s="1">
        <v>2.5999999999999998E-4</v>
      </c>
      <c r="N26" s="1">
        <v>-0.28999999999999998</v>
      </c>
      <c r="O26" s="3">
        <v>7.9000000000000006E-8</v>
      </c>
      <c r="P26" s="1">
        <f t="shared" si="0"/>
        <v>4.45</v>
      </c>
      <c r="Q26" s="1">
        <f t="shared" si="1"/>
        <v>-4.45</v>
      </c>
      <c r="R26" s="1">
        <f t="shared" si="2"/>
        <v>1</v>
      </c>
      <c r="S26" s="1">
        <f t="shared" si="3"/>
        <v>9.901250000000001</v>
      </c>
    </row>
    <row r="27" spans="1:19" x14ac:dyDescent="0.35">
      <c r="A27" s="1" t="s">
        <v>81</v>
      </c>
      <c r="B27" s="1" t="s">
        <v>82</v>
      </c>
      <c r="C27" s="1" t="s">
        <v>21</v>
      </c>
      <c r="D27" s="1">
        <v>0</v>
      </c>
      <c r="E27" s="1" t="s">
        <v>22</v>
      </c>
      <c r="F27" s="1">
        <v>95</v>
      </c>
      <c r="G27" s="1" t="s">
        <v>23</v>
      </c>
      <c r="H27" s="1">
        <v>3.09</v>
      </c>
      <c r="I27">
        <v>-6.13</v>
      </c>
      <c r="J27" s="1">
        <v>-4.08</v>
      </c>
      <c r="K27" s="1">
        <v>2.04</v>
      </c>
      <c r="L27" s="1">
        <v>-1.5373E-2</v>
      </c>
      <c r="M27" s="1">
        <v>-1.8100000000000002E-2</v>
      </c>
      <c r="N27" s="1">
        <v>-0.36399999999999999</v>
      </c>
      <c r="O27" s="3">
        <v>1.3999999999999999E-6</v>
      </c>
      <c r="P27" s="1">
        <f t="shared" si="0"/>
        <v>5.1050000000000004</v>
      </c>
      <c r="Q27" s="1">
        <f t="shared" si="1"/>
        <v>-5.1050000000000004</v>
      </c>
      <c r="R27" s="1">
        <f t="shared" si="2"/>
        <v>1.02</v>
      </c>
      <c r="S27" s="1">
        <f t="shared" si="3"/>
        <v>12.775012254901963</v>
      </c>
    </row>
    <row r="28" spans="1:19" x14ac:dyDescent="0.35">
      <c r="A28" s="1" t="s">
        <v>83</v>
      </c>
      <c r="B28" s="1" t="s">
        <v>84</v>
      </c>
      <c r="C28" s="1" t="s">
        <v>30</v>
      </c>
      <c r="D28" s="1">
        <v>1</v>
      </c>
      <c r="E28" s="1" t="s">
        <v>22</v>
      </c>
      <c r="F28" s="1">
        <v>95</v>
      </c>
      <c r="G28" s="1" t="s">
        <v>23</v>
      </c>
      <c r="H28" s="1">
        <v>2.02</v>
      </c>
      <c r="I28" s="1">
        <v>-6.22</v>
      </c>
      <c r="J28" s="1">
        <v>-3.84</v>
      </c>
      <c r="K28" s="1">
        <f>J28-I28</f>
        <v>2.38</v>
      </c>
      <c r="L28" s="1">
        <v>0.18551799999999999</v>
      </c>
      <c r="M28" s="1">
        <v>0.19828000000000001</v>
      </c>
      <c r="N28" s="1">
        <v>-1.54</v>
      </c>
      <c r="O28" s="3">
        <v>981000000000000</v>
      </c>
      <c r="P28" s="1">
        <f t="shared" si="0"/>
        <v>5.0299999999999994</v>
      </c>
      <c r="Q28" s="1">
        <f t="shared" si="1"/>
        <v>-5.0299999999999994</v>
      </c>
      <c r="R28" s="1">
        <f t="shared" si="2"/>
        <v>1.19</v>
      </c>
      <c r="S28" s="1">
        <f t="shared" si="3"/>
        <v>10.630630252100838</v>
      </c>
    </row>
    <row r="29" spans="1:19" x14ac:dyDescent="0.35">
      <c r="A29" s="1" t="s">
        <v>85</v>
      </c>
      <c r="B29" s="1" t="s">
        <v>86</v>
      </c>
      <c r="C29" s="1" t="s">
        <v>33</v>
      </c>
      <c r="D29" s="1">
        <v>1</v>
      </c>
      <c r="E29" s="1" t="s">
        <v>22</v>
      </c>
      <c r="F29" s="1">
        <v>95</v>
      </c>
      <c r="G29" s="1" t="s">
        <v>23</v>
      </c>
      <c r="H29" s="1">
        <v>2.06</v>
      </c>
      <c r="I29" s="1">
        <v>-6.2</v>
      </c>
      <c r="J29" s="1">
        <v>-3.86</v>
      </c>
      <c r="K29" s="1">
        <f>J29-I29</f>
        <v>2.3400000000000003</v>
      </c>
      <c r="L29" s="1">
        <v>0.175791</v>
      </c>
      <c r="M29" s="1">
        <v>0.23626</v>
      </c>
      <c r="N29" s="1">
        <v>-1.24</v>
      </c>
      <c r="O29" s="3">
        <v>5412000000</v>
      </c>
      <c r="P29" s="1">
        <f t="shared" si="0"/>
        <v>5.03</v>
      </c>
      <c r="Q29" s="1">
        <f t="shared" si="1"/>
        <v>-5.03</v>
      </c>
      <c r="R29" s="1">
        <f t="shared" si="2"/>
        <v>1.1700000000000002</v>
      </c>
      <c r="S29" s="1">
        <f t="shared" si="3"/>
        <v>10.812350427350427</v>
      </c>
    </row>
    <row r="30" spans="1:19" x14ac:dyDescent="0.35">
      <c r="A30" s="1" t="s">
        <v>87</v>
      </c>
      <c r="B30" s="1" t="s">
        <v>88</v>
      </c>
      <c r="C30" s="1" t="s">
        <v>48</v>
      </c>
      <c r="D30" s="1">
        <v>1</v>
      </c>
      <c r="E30" s="1" t="s">
        <v>22</v>
      </c>
      <c r="F30" s="1">
        <v>95</v>
      </c>
      <c r="G30" s="1" t="s">
        <v>23</v>
      </c>
      <c r="H30" s="1">
        <v>2.06</v>
      </c>
      <c r="I30" s="1">
        <v>-4.1500000000000004</v>
      </c>
      <c r="J30" s="1">
        <v>-2.17</v>
      </c>
      <c r="K30" s="1">
        <f t="shared" ref="K30:K49" si="7">J30-I30</f>
        <v>1.9800000000000004</v>
      </c>
      <c r="L30" s="1">
        <v>0.27479300000000001</v>
      </c>
      <c r="M30" s="1">
        <v>0.17307</v>
      </c>
      <c r="N30" s="1">
        <v>-0.94499999999999995</v>
      </c>
      <c r="O30" s="3">
        <v>9600</v>
      </c>
      <c r="P30" s="1">
        <f t="shared" si="0"/>
        <v>3.16</v>
      </c>
      <c r="Q30" s="1">
        <f t="shared" si="1"/>
        <v>-3.16</v>
      </c>
      <c r="R30" s="1">
        <f t="shared" si="2"/>
        <v>0.99000000000000021</v>
      </c>
      <c r="S30" s="1">
        <f t="shared" si="3"/>
        <v>5.0432323232323233</v>
      </c>
    </row>
    <row r="31" spans="1:19" x14ac:dyDescent="0.35">
      <c r="A31" s="1" t="s">
        <v>89</v>
      </c>
      <c r="B31" s="1" t="s">
        <v>90</v>
      </c>
      <c r="C31" s="1" t="s">
        <v>63</v>
      </c>
      <c r="D31" s="1">
        <v>1</v>
      </c>
      <c r="E31" s="1" t="s">
        <v>22</v>
      </c>
      <c r="F31" s="1">
        <v>95</v>
      </c>
      <c r="G31" s="1" t="s">
        <v>23</v>
      </c>
      <c r="H31" s="1">
        <v>2.2200000000000002</v>
      </c>
      <c r="I31" s="1">
        <v>-4.2699999999999996</v>
      </c>
      <c r="J31" s="1">
        <v>-2.2599999999999998</v>
      </c>
      <c r="K31" s="1">
        <f t="shared" si="7"/>
        <v>2.0099999999999998</v>
      </c>
      <c r="L31" s="1">
        <v>0.18601100000000001</v>
      </c>
      <c r="M31" s="1">
        <v>9.7860000000000003E-2</v>
      </c>
      <c r="N31" s="1">
        <v>-1.06</v>
      </c>
      <c r="O31" s="3">
        <v>846000</v>
      </c>
      <c r="P31" s="1">
        <f t="shared" si="0"/>
        <v>3.2649999999999997</v>
      </c>
      <c r="Q31" s="1">
        <f t="shared" si="1"/>
        <v>-3.2649999999999997</v>
      </c>
      <c r="R31" s="1">
        <f t="shared" si="2"/>
        <v>1.0049999999999999</v>
      </c>
      <c r="S31" s="1">
        <f t="shared" si="3"/>
        <v>5.3035945273631837</v>
      </c>
    </row>
    <row r="32" spans="1:19" x14ac:dyDescent="0.35">
      <c r="A32" s="1" t="s">
        <v>91</v>
      </c>
      <c r="B32" s="1" t="s">
        <v>92</v>
      </c>
      <c r="C32" s="1" t="s">
        <v>36</v>
      </c>
      <c r="D32" s="1">
        <v>1</v>
      </c>
      <c r="E32" s="1" t="s">
        <v>22</v>
      </c>
      <c r="F32" s="1">
        <v>95</v>
      </c>
      <c r="G32" s="1" t="s">
        <v>23</v>
      </c>
      <c r="H32" s="1">
        <v>2.23</v>
      </c>
      <c r="I32" s="1">
        <v>-4.47</v>
      </c>
      <c r="J32" s="1">
        <v>-2.46</v>
      </c>
      <c r="K32" s="1">
        <f t="shared" si="7"/>
        <v>2.0099999999999998</v>
      </c>
      <c r="L32" s="1">
        <v>0.17086699999999999</v>
      </c>
      <c r="M32" s="1">
        <v>0.14995</v>
      </c>
      <c r="N32" s="1">
        <v>-0.82320000000000004</v>
      </c>
      <c r="O32" s="3">
        <v>83.7</v>
      </c>
      <c r="P32" s="1">
        <f t="shared" si="0"/>
        <v>3.4649999999999999</v>
      </c>
      <c r="Q32" s="1">
        <f t="shared" si="1"/>
        <v>-3.4649999999999999</v>
      </c>
      <c r="R32" s="1">
        <f t="shared" si="2"/>
        <v>1.0049999999999999</v>
      </c>
      <c r="S32" s="1">
        <f t="shared" si="3"/>
        <v>5.973246268656716</v>
      </c>
    </row>
    <row r="33" spans="1:19" x14ac:dyDescent="0.35">
      <c r="A33" s="1" t="s">
        <v>93</v>
      </c>
      <c r="B33" s="1" t="s">
        <v>94</v>
      </c>
      <c r="C33" s="1" t="s">
        <v>39</v>
      </c>
      <c r="D33" s="1">
        <v>1</v>
      </c>
      <c r="E33" s="1" t="s">
        <v>22</v>
      </c>
      <c r="F33" s="1">
        <v>95</v>
      </c>
      <c r="G33" s="1" t="s">
        <v>23</v>
      </c>
      <c r="H33" s="1">
        <v>1.97</v>
      </c>
      <c r="I33" s="1">
        <v>-4.16</v>
      </c>
      <c r="J33" s="1">
        <v>-1.83</v>
      </c>
      <c r="K33" s="1">
        <f t="shared" si="7"/>
        <v>2.33</v>
      </c>
      <c r="L33" s="1">
        <v>0.26704699999999998</v>
      </c>
      <c r="M33" s="1">
        <v>0.13683999999999999</v>
      </c>
      <c r="N33" s="1">
        <v>-1.504</v>
      </c>
      <c r="O33" s="3">
        <v>27300000000000</v>
      </c>
      <c r="P33" s="1">
        <f t="shared" si="0"/>
        <v>2.9950000000000001</v>
      </c>
      <c r="Q33" s="1">
        <f t="shared" si="1"/>
        <v>-2.9950000000000001</v>
      </c>
      <c r="R33" s="1">
        <f t="shared" si="2"/>
        <v>1.165</v>
      </c>
      <c r="S33" s="1">
        <f t="shared" si="3"/>
        <v>3.8497961373390561</v>
      </c>
    </row>
    <row r="34" spans="1:19" x14ac:dyDescent="0.35">
      <c r="A34" s="1" t="s">
        <v>95</v>
      </c>
      <c r="B34" s="1" t="s">
        <v>96</v>
      </c>
      <c r="C34" s="1" t="s">
        <v>48</v>
      </c>
      <c r="D34" s="1">
        <v>1</v>
      </c>
      <c r="E34" s="1" t="s">
        <v>22</v>
      </c>
      <c r="F34" s="1">
        <v>95</v>
      </c>
      <c r="G34" s="1" t="s">
        <v>23</v>
      </c>
      <c r="H34" s="1">
        <v>2.0699999999999998</v>
      </c>
      <c r="I34" s="1">
        <v>-6.24</v>
      </c>
      <c r="J34" s="1">
        <v>-4.29</v>
      </c>
      <c r="K34" s="1">
        <f t="shared" si="7"/>
        <v>1.9500000000000002</v>
      </c>
      <c r="L34" s="1">
        <v>0.30423299999999998</v>
      </c>
      <c r="M34" s="1">
        <v>0.21418999999999999</v>
      </c>
      <c r="N34" s="1">
        <v>-0.93689999999999996</v>
      </c>
      <c r="O34" s="3">
        <v>7060</v>
      </c>
      <c r="P34" s="1">
        <f t="shared" si="0"/>
        <v>5.2650000000000006</v>
      </c>
      <c r="Q34" s="1">
        <f t="shared" si="1"/>
        <v>-5.2650000000000006</v>
      </c>
      <c r="R34" s="1">
        <f t="shared" si="2"/>
        <v>0.97500000000000009</v>
      </c>
      <c r="S34" s="1">
        <f t="shared" si="3"/>
        <v>14.215500000000002</v>
      </c>
    </row>
    <row r="35" spans="1:19" x14ac:dyDescent="0.35">
      <c r="A35" s="1" t="s">
        <v>97</v>
      </c>
      <c r="B35" s="1" t="s">
        <v>20</v>
      </c>
      <c r="C35" s="1" t="s">
        <v>21</v>
      </c>
      <c r="D35" s="1">
        <v>0</v>
      </c>
      <c r="E35" s="1" t="s">
        <v>98</v>
      </c>
      <c r="F35" s="1">
        <v>115</v>
      </c>
      <c r="G35" s="1" t="s">
        <v>23</v>
      </c>
      <c r="H35" s="1">
        <v>4.87</v>
      </c>
      <c r="I35" s="1">
        <v>-5.74</v>
      </c>
      <c r="J35" s="1">
        <v>-0.86299999999999999</v>
      </c>
      <c r="K35" s="1">
        <f t="shared" si="7"/>
        <v>4.8770000000000007</v>
      </c>
      <c r="L35" s="1">
        <v>-2.0603E-2</v>
      </c>
      <c r="M35" s="1">
        <v>1.6060000000000001E-2</v>
      </c>
      <c r="N35" s="1">
        <v>-8.7999999999999995E-2</v>
      </c>
      <c r="O35" s="3">
        <v>3.488E-11</v>
      </c>
      <c r="P35" s="1">
        <f t="shared" si="0"/>
        <v>3.3014999999999999</v>
      </c>
      <c r="Q35" s="1">
        <f t="shared" si="1"/>
        <v>-3.3014999999999999</v>
      </c>
      <c r="R35" s="1">
        <f t="shared" si="2"/>
        <v>2.4385000000000003</v>
      </c>
      <c r="S35" s="1">
        <f t="shared" si="3"/>
        <v>2.2349604777527161</v>
      </c>
    </row>
    <row r="36" spans="1:19" x14ac:dyDescent="0.35">
      <c r="A36" s="1" t="s">
        <v>99</v>
      </c>
      <c r="B36" s="1" t="s">
        <v>100</v>
      </c>
      <c r="C36" s="1" t="s">
        <v>21</v>
      </c>
      <c r="D36" s="1">
        <v>0</v>
      </c>
      <c r="E36" s="1" t="s">
        <v>98</v>
      </c>
      <c r="F36" s="1">
        <v>115</v>
      </c>
      <c r="G36" s="1" t="s">
        <v>23</v>
      </c>
      <c r="H36" s="1">
        <v>1.57</v>
      </c>
      <c r="I36" s="1">
        <v>-2.63</v>
      </c>
      <c r="J36" s="1">
        <v>-1.59</v>
      </c>
      <c r="K36" s="1">
        <f t="shared" si="7"/>
        <v>1.0399999999999998</v>
      </c>
      <c r="L36" s="1">
        <v>-0.31809100000000001</v>
      </c>
      <c r="M36" s="1">
        <v>-0.41517999999999999</v>
      </c>
      <c r="N36" s="1">
        <v>-2.7</v>
      </c>
      <c r="O36" s="3">
        <v>2.1020000000000001E+35</v>
      </c>
      <c r="P36" s="1">
        <f t="shared" si="0"/>
        <v>2.11</v>
      </c>
      <c r="Q36" s="1">
        <f t="shared" si="1"/>
        <v>-2.11</v>
      </c>
      <c r="R36" s="1">
        <f t="shared" si="2"/>
        <v>0.51999999999999991</v>
      </c>
      <c r="S36" s="1">
        <f t="shared" si="3"/>
        <v>4.2808653846153852</v>
      </c>
    </row>
    <row r="37" spans="1:19" x14ac:dyDescent="0.35">
      <c r="A37" s="1" t="s">
        <v>101</v>
      </c>
      <c r="B37" s="1" t="s">
        <v>102</v>
      </c>
      <c r="C37" s="1" t="s">
        <v>21</v>
      </c>
      <c r="D37" s="1">
        <v>0</v>
      </c>
      <c r="E37" s="1" t="s">
        <v>98</v>
      </c>
      <c r="F37" s="1">
        <v>65</v>
      </c>
      <c r="G37" s="1" t="s">
        <v>23</v>
      </c>
      <c r="H37" s="1">
        <v>1.18</v>
      </c>
      <c r="I37" s="1">
        <v>-5.08</v>
      </c>
      <c r="J37" s="1">
        <v>-3.8</v>
      </c>
      <c r="K37" s="1">
        <f t="shared" si="7"/>
        <v>1.2800000000000002</v>
      </c>
      <c r="L37" s="1">
        <v>0.303396</v>
      </c>
      <c r="M37" s="1">
        <v>0.41797000000000001</v>
      </c>
      <c r="N37" s="1">
        <v>-2.0099999999999998</v>
      </c>
      <c r="O37" s="3">
        <v>1.6949999999999998E+23</v>
      </c>
      <c r="P37" s="1">
        <f t="shared" si="0"/>
        <v>4.4399999999999995</v>
      </c>
      <c r="Q37" s="1">
        <f t="shared" si="1"/>
        <v>-4.4399999999999995</v>
      </c>
      <c r="R37" s="1">
        <f t="shared" si="2"/>
        <v>0.64000000000000012</v>
      </c>
      <c r="S37" s="1">
        <f t="shared" si="3"/>
        <v>15.401249999999994</v>
      </c>
    </row>
    <row r="38" spans="1:19" x14ac:dyDescent="0.35">
      <c r="A38" s="1" t="s">
        <v>103</v>
      </c>
      <c r="B38" s="1" t="s">
        <v>29</v>
      </c>
      <c r="C38" s="1" t="s">
        <v>30</v>
      </c>
      <c r="D38" s="1">
        <v>1</v>
      </c>
      <c r="E38" s="1" t="s">
        <v>98</v>
      </c>
      <c r="F38" s="1">
        <v>115</v>
      </c>
      <c r="G38" s="1" t="s">
        <v>23</v>
      </c>
      <c r="H38" s="1">
        <v>4.9800000000000004</v>
      </c>
      <c r="I38" s="1">
        <v>-5.7</v>
      </c>
      <c r="J38" s="1">
        <v>-1.74</v>
      </c>
      <c r="K38" s="1">
        <f t="shared" si="7"/>
        <v>3.96</v>
      </c>
      <c r="L38" s="11">
        <v>-5.5719999999999997E-3</v>
      </c>
      <c r="M38" s="12">
        <v>1.4149999999999999E-2</v>
      </c>
      <c r="N38" s="1">
        <v>-0.83509999999999995</v>
      </c>
      <c r="O38" s="1">
        <v>130.82</v>
      </c>
      <c r="P38" s="1">
        <f t="shared" si="0"/>
        <v>3.72</v>
      </c>
      <c r="Q38" s="1">
        <f t="shared" si="1"/>
        <v>-3.72</v>
      </c>
      <c r="R38" s="1">
        <f t="shared" si="2"/>
        <v>1.98</v>
      </c>
      <c r="S38" s="1">
        <f t="shared" si="3"/>
        <v>3.4945454545454551</v>
      </c>
    </row>
    <row r="39" spans="1:19" x14ac:dyDescent="0.35">
      <c r="A39" s="1" t="s">
        <v>104</v>
      </c>
      <c r="B39" s="1" t="s">
        <v>32</v>
      </c>
      <c r="C39" s="1" t="s">
        <v>33</v>
      </c>
      <c r="D39" s="1">
        <v>1</v>
      </c>
      <c r="E39" s="1" t="s">
        <v>98</v>
      </c>
      <c r="F39" s="1">
        <v>115</v>
      </c>
      <c r="G39" s="1" t="s">
        <v>23</v>
      </c>
      <c r="H39" s="1">
        <v>4.96</v>
      </c>
      <c r="I39" s="1">
        <v>-5.74</v>
      </c>
      <c r="J39" s="1">
        <v>-1.38</v>
      </c>
      <c r="K39" s="1">
        <f t="shared" si="7"/>
        <v>4.3600000000000003</v>
      </c>
      <c r="L39" s="11">
        <v>3.0491000000000001E-2</v>
      </c>
      <c r="M39" s="12">
        <v>2.828E-2</v>
      </c>
      <c r="N39" s="1">
        <v>-0.82909999999999995</v>
      </c>
      <c r="O39" s="1">
        <v>103.56</v>
      </c>
      <c r="P39" s="1">
        <f t="shared" si="0"/>
        <v>3.56</v>
      </c>
      <c r="Q39" s="1">
        <f t="shared" si="1"/>
        <v>-3.56</v>
      </c>
      <c r="R39" s="1">
        <f t="shared" si="2"/>
        <v>2.1800000000000002</v>
      </c>
      <c r="S39" s="1">
        <f t="shared" si="3"/>
        <v>2.9067889908256879</v>
      </c>
    </row>
    <row r="40" spans="1:19" x14ac:dyDescent="0.35">
      <c r="A40" s="1" t="s">
        <v>105</v>
      </c>
      <c r="B40" s="1" t="s">
        <v>35</v>
      </c>
      <c r="C40" s="1" t="s">
        <v>36</v>
      </c>
      <c r="D40" s="1">
        <v>1</v>
      </c>
      <c r="E40" s="1" t="s">
        <v>98</v>
      </c>
      <c r="F40" s="1">
        <v>115</v>
      </c>
      <c r="G40" s="1" t="s">
        <v>23</v>
      </c>
      <c r="H40" s="1">
        <v>2.2200000000000002</v>
      </c>
      <c r="I40" s="1">
        <v>-5.46</v>
      </c>
      <c r="J40" s="1">
        <v>-3.67</v>
      </c>
      <c r="K40" s="1">
        <f t="shared" si="7"/>
        <v>1.79</v>
      </c>
      <c r="L40" s="1">
        <v>0.31068000000000001</v>
      </c>
      <c r="M40" s="1">
        <v>0.18740999999999999</v>
      </c>
      <c r="N40" s="1">
        <v>-0.28639999999999999</v>
      </c>
      <c r="O40" s="3">
        <v>1.046E-7</v>
      </c>
      <c r="P40" s="1">
        <f t="shared" si="0"/>
        <v>4.5649999999999995</v>
      </c>
      <c r="Q40" s="1">
        <f t="shared" si="1"/>
        <v>-4.5649999999999995</v>
      </c>
      <c r="R40" s="1">
        <f t="shared" si="2"/>
        <v>0.89500000000000002</v>
      </c>
      <c r="S40" s="1">
        <f t="shared" si="3"/>
        <v>11.642025139664801</v>
      </c>
    </row>
    <row r="41" spans="1:19" x14ac:dyDescent="0.35">
      <c r="A41" s="1" t="s">
        <v>106</v>
      </c>
      <c r="B41" s="1" t="s">
        <v>38</v>
      </c>
      <c r="C41" s="1" t="s">
        <v>39</v>
      </c>
      <c r="D41" s="1">
        <v>1</v>
      </c>
      <c r="E41" s="1" t="s">
        <v>98</v>
      </c>
      <c r="F41" s="1">
        <v>115</v>
      </c>
      <c r="G41" s="1" t="s">
        <v>23</v>
      </c>
      <c r="H41" s="1">
        <v>2.04</v>
      </c>
      <c r="I41" s="1">
        <v>-5.66</v>
      </c>
      <c r="J41" s="1">
        <v>-4.34</v>
      </c>
      <c r="K41" s="1">
        <f t="shared" si="7"/>
        <v>1.3200000000000003</v>
      </c>
      <c r="L41" s="1">
        <v>0.32265500000000003</v>
      </c>
      <c r="M41" s="1">
        <v>0.21409</v>
      </c>
      <c r="N41" s="1">
        <v>-1.071</v>
      </c>
      <c r="O41" s="3">
        <v>5910000</v>
      </c>
      <c r="P41" s="1">
        <f t="shared" si="0"/>
        <v>5</v>
      </c>
      <c r="Q41" s="1">
        <f t="shared" si="1"/>
        <v>-5</v>
      </c>
      <c r="R41" s="1">
        <f t="shared" si="2"/>
        <v>0.66000000000000014</v>
      </c>
      <c r="S41" s="1">
        <f t="shared" si="3"/>
        <v>18.939393939393934</v>
      </c>
    </row>
    <row r="42" spans="1:19" x14ac:dyDescent="0.35">
      <c r="A42" s="1" t="s">
        <v>107</v>
      </c>
      <c r="B42" s="1" t="s">
        <v>41</v>
      </c>
      <c r="C42" s="1" t="s">
        <v>42</v>
      </c>
      <c r="D42" s="1">
        <v>1</v>
      </c>
      <c r="E42" s="1" t="s">
        <v>98</v>
      </c>
      <c r="F42" s="1">
        <v>115</v>
      </c>
      <c r="G42" s="1" t="s">
        <v>23</v>
      </c>
      <c r="H42" s="1">
        <v>2.11</v>
      </c>
      <c r="I42" s="1">
        <v>-5.69</v>
      </c>
      <c r="J42" s="1">
        <v>-2.96</v>
      </c>
      <c r="K42" s="1">
        <f t="shared" si="7"/>
        <v>2.7300000000000004</v>
      </c>
      <c r="L42" s="1">
        <v>0.37031199999999997</v>
      </c>
      <c r="M42" s="1">
        <v>0.24414</v>
      </c>
      <c r="N42" s="1">
        <v>-0.67800000000000005</v>
      </c>
      <c r="O42" s="1">
        <v>0.76400000000000001</v>
      </c>
      <c r="P42" s="1">
        <f t="shared" si="0"/>
        <v>4.3250000000000002</v>
      </c>
      <c r="Q42" s="1">
        <f t="shared" si="1"/>
        <v>-4.3250000000000002</v>
      </c>
      <c r="R42" s="1">
        <f t="shared" si="2"/>
        <v>1.3650000000000002</v>
      </c>
      <c r="S42" s="1">
        <f t="shared" si="3"/>
        <v>6.8518772893772883</v>
      </c>
    </row>
    <row r="43" spans="1:19" x14ac:dyDescent="0.35">
      <c r="A43" s="1" t="s">
        <v>108</v>
      </c>
      <c r="B43" s="1" t="s">
        <v>44</v>
      </c>
      <c r="C43" s="1" t="s">
        <v>45</v>
      </c>
      <c r="D43" s="1">
        <v>1</v>
      </c>
      <c r="E43" s="1" t="s">
        <v>98</v>
      </c>
      <c r="F43" s="1">
        <v>115</v>
      </c>
      <c r="G43" s="1" t="s">
        <v>23</v>
      </c>
      <c r="H43" s="1">
        <v>2.12</v>
      </c>
      <c r="I43" s="1">
        <v>-5.68</v>
      </c>
      <c r="J43" s="1">
        <v>-2.19</v>
      </c>
      <c r="K43" s="1">
        <f t="shared" si="7"/>
        <v>3.4899999999999998</v>
      </c>
      <c r="L43" s="1">
        <v>0.277088</v>
      </c>
      <c r="M43" s="1">
        <v>0.19592999999999999</v>
      </c>
      <c r="N43" s="1">
        <v>-0.62480000000000002</v>
      </c>
      <c r="O43" s="1">
        <v>892.9</v>
      </c>
      <c r="P43" s="1">
        <f t="shared" si="0"/>
        <v>3.9349999999999996</v>
      </c>
      <c r="Q43" s="1">
        <f t="shared" si="1"/>
        <v>-3.9349999999999996</v>
      </c>
      <c r="R43" s="1">
        <f t="shared" si="2"/>
        <v>1.7449999999999999</v>
      </c>
      <c r="S43" s="1">
        <f t="shared" si="3"/>
        <v>4.436740687679082</v>
      </c>
    </row>
    <row r="44" spans="1:19" x14ac:dyDescent="0.35">
      <c r="A44" s="1" t="s">
        <v>109</v>
      </c>
      <c r="B44" s="1" t="s">
        <v>47</v>
      </c>
      <c r="C44" s="1" t="s">
        <v>48</v>
      </c>
      <c r="D44" s="1">
        <v>1</v>
      </c>
      <c r="E44" s="1" t="s">
        <v>98</v>
      </c>
      <c r="F44" s="1">
        <v>115</v>
      </c>
      <c r="G44" s="1" t="s">
        <v>23</v>
      </c>
      <c r="H44" s="1">
        <v>2.08</v>
      </c>
      <c r="I44" s="1">
        <v>-5.66</v>
      </c>
      <c r="J44" s="1">
        <v>-3.77</v>
      </c>
      <c r="K44" s="1">
        <f>J44-I44</f>
        <v>1.8900000000000001</v>
      </c>
      <c r="L44" s="1">
        <v>0.28531699999999999</v>
      </c>
      <c r="M44" s="1">
        <v>1.20061</v>
      </c>
      <c r="N44" s="1">
        <v>-0.74460000000000004</v>
      </c>
      <c r="O44" s="1">
        <v>5.58</v>
      </c>
      <c r="P44" s="1">
        <f t="shared" si="0"/>
        <v>4.7149999999999999</v>
      </c>
      <c r="Q44" s="1">
        <f t="shared" si="1"/>
        <v>-4.7149999999999999</v>
      </c>
      <c r="R44" s="1">
        <f t="shared" si="2"/>
        <v>0.94500000000000006</v>
      </c>
      <c r="S44" s="1">
        <f t="shared" si="3"/>
        <v>11.762552910052909</v>
      </c>
    </row>
    <row r="45" spans="1:19" x14ac:dyDescent="0.35">
      <c r="A45" s="1" t="s">
        <v>110</v>
      </c>
      <c r="B45" s="1" t="s">
        <v>50</v>
      </c>
      <c r="C45" s="1" t="s">
        <v>30</v>
      </c>
      <c r="D45" s="1">
        <v>1</v>
      </c>
      <c r="E45" s="1" t="s">
        <v>98</v>
      </c>
      <c r="F45" s="1">
        <v>115</v>
      </c>
      <c r="G45" s="1" t="s">
        <v>23</v>
      </c>
      <c r="H45" s="1">
        <v>2.92</v>
      </c>
      <c r="I45" s="1">
        <v>-2.67</v>
      </c>
      <c r="J45" s="1">
        <v>-1.8</v>
      </c>
      <c r="K45" s="1">
        <f t="shared" si="7"/>
        <v>0.86999999999999988</v>
      </c>
      <c r="L45" s="1">
        <v>-2.1752690000000001</v>
      </c>
      <c r="M45" s="12">
        <v>-5.2310000000000002E-2</v>
      </c>
      <c r="N45" s="1">
        <v>-0.2104</v>
      </c>
      <c r="O45" s="3">
        <v>3.6E-9</v>
      </c>
      <c r="P45" s="1">
        <f t="shared" si="0"/>
        <v>2.2349999999999999</v>
      </c>
      <c r="Q45" s="1">
        <f t="shared" si="1"/>
        <v>-2.2349999999999999</v>
      </c>
      <c r="R45" s="1">
        <f t="shared" si="2"/>
        <v>0.43499999999999994</v>
      </c>
      <c r="S45" s="1">
        <f t="shared" si="3"/>
        <v>5.7416379310344832</v>
      </c>
    </row>
    <row r="46" spans="1:19" x14ac:dyDescent="0.35">
      <c r="A46" s="1" t="s">
        <v>111</v>
      </c>
      <c r="B46" s="1" t="s">
        <v>52</v>
      </c>
      <c r="C46" s="1" t="s">
        <v>33</v>
      </c>
      <c r="D46" s="1">
        <v>1</v>
      </c>
      <c r="E46" s="1" t="s">
        <v>98</v>
      </c>
      <c r="F46" s="1">
        <v>115</v>
      </c>
      <c r="G46" s="1" t="s">
        <v>23</v>
      </c>
      <c r="H46" s="1">
        <v>2.83</v>
      </c>
      <c r="I46" s="1">
        <v>-2.62</v>
      </c>
      <c r="J46" s="1">
        <v>-1.78</v>
      </c>
      <c r="K46" s="1">
        <f t="shared" si="7"/>
        <v>0.84000000000000008</v>
      </c>
      <c r="L46" s="1">
        <v>-3.227E-2</v>
      </c>
      <c r="M46" s="12">
        <v>-2.2970000000000001E-2</v>
      </c>
      <c r="N46" s="1">
        <v>-0.1062</v>
      </c>
      <c r="O46" s="3">
        <v>6.2399999999999999E-11</v>
      </c>
      <c r="P46" s="1">
        <f t="shared" si="0"/>
        <v>2.2000000000000002</v>
      </c>
      <c r="Q46" s="1">
        <f t="shared" si="1"/>
        <v>-2.2000000000000002</v>
      </c>
      <c r="R46" s="1">
        <f t="shared" si="2"/>
        <v>0.42000000000000004</v>
      </c>
      <c r="S46" s="1">
        <f t="shared" si="3"/>
        <v>5.7619047619047619</v>
      </c>
    </row>
    <row r="47" spans="1:19" x14ac:dyDescent="0.35">
      <c r="A47" s="1" t="s">
        <v>112</v>
      </c>
      <c r="B47" s="1" t="s">
        <v>54</v>
      </c>
      <c r="C47" s="1" t="s">
        <v>48</v>
      </c>
      <c r="D47" s="1">
        <v>1</v>
      </c>
      <c r="E47" s="1" t="s">
        <v>98</v>
      </c>
      <c r="F47" s="1">
        <v>115</v>
      </c>
      <c r="G47" s="1" t="s">
        <v>23</v>
      </c>
      <c r="H47" s="1">
        <v>2.4300000000000002</v>
      </c>
      <c r="I47" s="13">
        <v>-2.69</v>
      </c>
      <c r="J47" s="13">
        <v>-1.37</v>
      </c>
      <c r="K47" s="13">
        <f t="shared" si="7"/>
        <v>1.3199999999999998</v>
      </c>
      <c r="L47" s="1">
        <v>-2.6199999999999999E-3</v>
      </c>
      <c r="M47" s="1">
        <v>7.4001999999999998E-2</v>
      </c>
      <c r="N47" s="10">
        <v>-0.28260000000000002</v>
      </c>
      <c r="O47" s="14">
        <v>6E-9</v>
      </c>
      <c r="P47" s="1">
        <f t="shared" si="0"/>
        <v>2.0300000000000002</v>
      </c>
      <c r="Q47" s="1">
        <f t="shared" si="1"/>
        <v>-2.0300000000000002</v>
      </c>
      <c r="R47" s="1">
        <f t="shared" si="2"/>
        <v>0.65999999999999992</v>
      </c>
      <c r="S47" s="1">
        <f t="shared" si="3"/>
        <v>3.1218939393939404</v>
      </c>
    </row>
    <row r="48" spans="1:19" x14ac:dyDescent="0.35">
      <c r="A48" s="1" t="s">
        <v>113</v>
      </c>
      <c r="B48" s="1" t="s">
        <v>56</v>
      </c>
      <c r="C48" s="1" t="s">
        <v>30</v>
      </c>
      <c r="D48" s="1">
        <v>1</v>
      </c>
      <c r="E48" s="1" t="s">
        <v>98</v>
      </c>
      <c r="F48" s="1">
        <v>65</v>
      </c>
      <c r="G48" s="1" t="s">
        <v>23</v>
      </c>
      <c r="H48" s="1">
        <v>1.0900000000000001</v>
      </c>
      <c r="I48" s="1">
        <v>-4.8899999999999997</v>
      </c>
      <c r="J48" s="1">
        <v>-3.43</v>
      </c>
      <c r="K48" s="1">
        <f t="shared" si="7"/>
        <v>1.4599999999999995</v>
      </c>
      <c r="L48" s="1">
        <v>0.292738</v>
      </c>
      <c r="M48" s="12">
        <v>0.36229</v>
      </c>
      <c r="N48" s="1">
        <v>-2.76</v>
      </c>
      <c r="O48" s="3">
        <v>1.4600000000000001E-10</v>
      </c>
      <c r="P48" s="1">
        <f t="shared" si="0"/>
        <v>4.16</v>
      </c>
      <c r="Q48" s="1">
        <f t="shared" si="1"/>
        <v>-4.16</v>
      </c>
      <c r="R48" s="1">
        <f t="shared" si="2"/>
        <v>0.72999999999999976</v>
      </c>
      <c r="S48" s="1">
        <f t="shared" si="3"/>
        <v>11.853150684931512</v>
      </c>
    </row>
    <row r="49" spans="1:19" x14ac:dyDescent="0.35">
      <c r="A49" s="1" t="s">
        <v>114</v>
      </c>
      <c r="B49" s="1" t="s">
        <v>58</v>
      </c>
      <c r="C49" s="1" t="s">
        <v>33</v>
      </c>
      <c r="D49" s="1">
        <v>1</v>
      </c>
      <c r="E49" s="1" t="s">
        <v>98</v>
      </c>
      <c r="F49" s="1">
        <v>65</v>
      </c>
      <c r="G49" s="1" t="s">
        <v>23</v>
      </c>
      <c r="H49" s="1">
        <v>1.2</v>
      </c>
      <c r="I49" s="1">
        <v>-4.9400000000000004</v>
      </c>
      <c r="J49" s="1">
        <v>-3.42</v>
      </c>
      <c r="K49" s="1">
        <f t="shared" si="7"/>
        <v>1.5200000000000005</v>
      </c>
      <c r="L49" s="1">
        <v>0.36152600000000001</v>
      </c>
      <c r="M49" s="12">
        <v>0.29165000000000002</v>
      </c>
      <c r="N49" s="1">
        <v>-2.87</v>
      </c>
      <c r="O49" s="3">
        <v>1.71E-10</v>
      </c>
      <c r="P49" s="1">
        <f t="shared" si="0"/>
        <v>4.18</v>
      </c>
      <c r="Q49" s="1">
        <f t="shared" si="1"/>
        <v>-4.18</v>
      </c>
      <c r="R49" s="1">
        <f t="shared" si="2"/>
        <v>0.76000000000000023</v>
      </c>
      <c r="S49" s="1">
        <f t="shared" si="3"/>
        <v>11.494999999999994</v>
      </c>
    </row>
    <row r="50" spans="1:19" x14ac:dyDescent="0.35">
      <c r="A50" s="1" t="s">
        <v>115</v>
      </c>
      <c r="B50" s="1" t="s">
        <v>60</v>
      </c>
      <c r="C50" s="1" t="s">
        <v>36</v>
      </c>
      <c r="D50" s="1">
        <v>1</v>
      </c>
      <c r="E50" s="1" t="s">
        <v>98</v>
      </c>
      <c r="F50" s="1">
        <v>65</v>
      </c>
      <c r="G50" s="1" t="s">
        <v>23</v>
      </c>
      <c r="H50" s="1">
        <v>2.17</v>
      </c>
      <c r="I50" s="1">
        <v>-5.6360000000000001</v>
      </c>
      <c r="J50" s="1">
        <v>-3.7149999999999999</v>
      </c>
      <c r="K50" s="1">
        <v>1.9210000000000003</v>
      </c>
      <c r="L50" s="1">
        <v>0.34151900000000002</v>
      </c>
      <c r="M50" s="1">
        <v>0.19223000000000001</v>
      </c>
      <c r="N50" s="1">
        <v>-1.33</v>
      </c>
      <c r="O50" s="3">
        <v>33000000000</v>
      </c>
      <c r="P50" s="1">
        <f t="shared" si="0"/>
        <v>4.6754999999999995</v>
      </c>
      <c r="Q50" s="1">
        <f t="shared" si="1"/>
        <v>-4.6754999999999995</v>
      </c>
      <c r="R50" s="1">
        <f t="shared" si="2"/>
        <v>0.96050000000000013</v>
      </c>
      <c r="S50" s="1">
        <f t="shared" si="3"/>
        <v>11.379646147839663</v>
      </c>
    </row>
    <row r="51" spans="1:19" x14ac:dyDescent="0.35">
      <c r="A51" s="1" t="s">
        <v>116</v>
      </c>
      <c r="B51" s="1" t="s">
        <v>62</v>
      </c>
      <c r="C51" s="1" t="s">
        <v>63</v>
      </c>
      <c r="D51" s="1">
        <v>1</v>
      </c>
      <c r="E51" s="1" t="s">
        <v>98</v>
      </c>
      <c r="F51" s="1">
        <v>65</v>
      </c>
      <c r="G51" s="1" t="s">
        <v>23</v>
      </c>
      <c r="H51" s="1">
        <v>2.2400000000000002</v>
      </c>
      <c r="I51" s="1">
        <v>-5.61</v>
      </c>
      <c r="J51" s="1">
        <v>-4.07</v>
      </c>
      <c r="K51" s="1">
        <v>1.54</v>
      </c>
      <c r="L51" s="1">
        <v>0.91990000000000005</v>
      </c>
      <c r="M51" s="1">
        <v>9.3590000000000007E-2</v>
      </c>
      <c r="N51" s="1">
        <v>-0.52</v>
      </c>
      <c r="O51" s="3">
        <v>6.6E-4</v>
      </c>
      <c r="P51" s="1">
        <f t="shared" si="0"/>
        <v>4.84</v>
      </c>
      <c r="Q51" s="1">
        <f t="shared" si="1"/>
        <v>-4.84</v>
      </c>
      <c r="R51" s="1">
        <f t="shared" si="2"/>
        <v>0.77</v>
      </c>
      <c r="S51" s="1">
        <f t="shared" si="3"/>
        <v>15.21142857142857</v>
      </c>
    </row>
    <row r="52" spans="1:19" x14ac:dyDescent="0.35">
      <c r="A52" s="1" t="s">
        <v>117</v>
      </c>
      <c r="B52" s="1" t="s">
        <v>65</v>
      </c>
      <c r="C52" s="1" t="s">
        <v>39</v>
      </c>
      <c r="D52" s="1">
        <v>1</v>
      </c>
      <c r="E52" s="1" t="s">
        <v>98</v>
      </c>
      <c r="F52" s="1">
        <v>65</v>
      </c>
      <c r="G52" s="1" t="s">
        <v>23</v>
      </c>
      <c r="H52" s="1">
        <v>5.48</v>
      </c>
      <c r="I52" s="1">
        <v>-5.61</v>
      </c>
      <c r="J52" s="1">
        <v>-4.3099999999999996</v>
      </c>
      <c r="K52" s="1">
        <v>1.3000000000000007</v>
      </c>
      <c r="L52" s="1">
        <v>9.0031E-2</v>
      </c>
      <c r="M52" s="1">
        <v>3.8580000000000003E-2</v>
      </c>
      <c r="N52" s="1">
        <v>-0.12</v>
      </c>
      <c r="O52" s="3">
        <v>1.0999999999999999E-10</v>
      </c>
      <c r="P52" s="1">
        <f t="shared" si="0"/>
        <v>4.96</v>
      </c>
      <c r="Q52" s="1">
        <f t="shared" si="1"/>
        <v>-4.96</v>
      </c>
      <c r="R52" s="1">
        <f t="shared" si="2"/>
        <v>0.65000000000000036</v>
      </c>
      <c r="S52" s="1">
        <f t="shared" si="3"/>
        <v>18.924307692307682</v>
      </c>
    </row>
    <row r="53" spans="1:19" x14ac:dyDescent="0.35">
      <c r="A53" s="1" t="s">
        <v>118</v>
      </c>
      <c r="B53" s="1" t="s">
        <v>67</v>
      </c>
      <c r="C53" s="1" t="s">
        <v>42</v>
      </c>
      <c r="D53" s="1">
        <v>1</v>
      </c>
      <c r="E53" s="1" t="s">
        <v>98</v>
      </c>
      <c r="F53" s="1">
        <v>65</v>
      </c>
      <c r="G53" s="1" t="s">
        <v>23</v>
      </c>
      <c r="H53" s="1">
        <v>1.95</v>
      </c>
      <c r="I53" s="1">
        <v>-4.66</v>
      </c>
      <c r="J53" s="1">
        <v>-3.29</v>
      </c>
      <c r="K53" s="1">
        <v>1.37</v>
      </c>
      <c r="L53" s="1">
        <v>0.34270699999999998</v>
      </c>
      <c r="M53" s="1">
        <v>0.27054</v>
      </c>
      <c r="N53" s="1">
        <v>-2.17</v>
      </c>
      <c r="O53" s="3">
        <v>2.1000000000000001E+24</v>
      </c>
      <c r="P53" s="1">
        <f t="shared" si="0"/>
        <v>3.9750000000000001</v>
      </c>
      <c r="Q53" s="1">
        <f t="shared" si="1"/>
        <v>-3.9750000000000001</v>
      </c>
      <c r="R53" s="1">
        <f t="shared" si="2"/>
        <v>0.68500000000000005</v>
      </c>
      <c r="S53" s="1">
        <f t="shared" si="3"/>
        <v>11.533302919708028</v>
      </c>
    </row>
    <row r="54" spans="1:19" x14ac:dyDescent="0.35">
      <c r="A54" s="1" t="s">
        <v>119</v>
      </c>
      <c r="B54" s="1" t="s">
        <v>69</v>
      </c>
      <c r="C54" s="1" t="s">
        <v>45</v>
      </c>
      <c r="D54" s="1">
        <v>1</v>
      </c>
      <c r="E54" s="1" t="s">
        <v>98</v>
      </c>
      <c r="F54" s="1">
        <v>65</v>
      </c>
      <c r="G54" s="1" t="s">
        <v>23</v>
      </c>
      <c r="H54" s="1">
        <v>2.12</v>
      </c>
      <c r="I54" s="1">
        <v>-5.22</v>
      </c>
      <c r="J54" s="1">
        <v>-3.41</v>
      </c>
      <c r="K54" s="1">
        <v>1.8099999999999996</v>
      </c>
      <c r="L54" s="1">
        <v>0.46504400000000001</v>
      </c>
      <c r="M54" s="1">
        <v>0.37655</v>
      </c>
      <c r="N54" s="1">
        <v>-0.76</v>
      </c>
      <c r="O54" s="1">
        <v>6.7</v>
      </c>
      <c r="P54" s="1">
        <f t="shared" si="0"/>
        <v>4.3149999999999995</v>
      </c>
      <c r="Q54" s="1">
        <f t="shared" si="1"/>
        <v>-4.3149999999999995</v>
      </c>
      <c r="R54" s="1">
        <f t="shared" si="2"/>
        <v>0.9049999999999998</v>
      </c>
      <c r="S54" s="1">
        <f t="shared" si="3"/>
        <v>10.286864640883978</v>
      </c>
    </row>
    <row r="55" spans="1:19" x14ac:dyDescent="0.35">
      <c r="A55" s="1" t="s">
        <v>120</v>
      </c>
      <c r="B55" s="1" t="s">
        <v>71</v>
      </c>
      <c r="C55" s="1" t="s">
        <v>48</v>
      </c>
      <c r="D55" s="1">
        <v>1</v>
      </c>
      <c r="E55" s="1" t="s">
        <v>98</v>
      </c>
      <c r="F55" s="1">
        <v>65</v>
      </c>
      <c r="G55" s="1" t="s">
        <v>23</v>
      </c>
      <c r="H55" s="1">
        <v>2.0099999999999998</v>
      </c>
      <c r="I55" s="1">
        <v>-5.48</v>
      </c>
      <c r="J55" s="1">
        <v>-3.5</v>
      </c>
      <c r="K55" s="1">
        <v>1.9800000000000004</v>
      </c>
      <c r="L55" s="1">
        <v>0.34096500000000002</v>
      </c>
      <c r="M55" s="1">
        <v>0.21102000000000001</v>
      </c>
      <c r="N55" s="1">
        <v>-0.64</v>
      </c>
      <c r="O55" s="3">
        <v>7.0000000000000007E-2</v>
      </c>
      <c r="P55" s="1">
        <f t="shared" si="0"/>
        <v>4.49</v>
      </c>
      <c r="Q55" s="1">
        <f t="shared" si="1"/>
        <v>-4.49</v>
      </c>
      <c r="R55" s="1">
        <f t="shared" si="2"/>
        <v>0.99000000000000021</v>
      </c>
      <c r="S55" s="1">
        <f t="shared" si="3"/>
        <v>10.181868686868686</v>
      </c>
    </row>
    <row r="56" spans="1:19" x14ac:dyDescent="0.35">
      <c r="A56" s="1" t="s">
        <v>121</v>
      </c>
      <c r="B56" s="1" t="s">
        <v>73</v>
      </c>
      <c r="C56" s="1" t="s">
        <v>74</v>
      </c>
      <c r="D56" s="1">
        <v>1</v>
      </c>
      <c r="E56" s="1" t="s">
        <v>98</v>
      </c>
      <c r="F56" s="1">
        <v>65</v>
      </c>
      <c r="G56" s="1" t="s">
        <v>23</v>
      </c>
      <c r="H56" s="1">
        <v>2.2200000000000002</v>
      </c>
      <c r="I56" s="1">
        <v>-5.53</v>
      </c>
      <c r="J56" s="1">
        <v>-3.52</v>
      </c>
      <c r="K56" s="1">
        <v>2.0100000000000002</v>
      </c>
      <c r="L56" s="1">
        <v>0.33431300000000003</v>
      </c>
      <c r="M56" s="1">
        <v>0.20416999999999999</v>
      </c>
      <c r="N56" s="1">
        <v>-0.65</v>
      </c>
      <c r="O56" s="1">
        <v>0.1</v>
      </c>
      <c r="P56" s="1">
        <f t="shared" si="0"/>
        <v>4.5250000000000004</v>
      </c>
      <c r="Q56" s="1">
        <f t="shared" si="1"/>
        <v>-4.5250000000000004</v>
      </c>
      <c r="R56" s="1">
        <f t="shared" si="2"/>
        <v>1.0050000000000001</v>
      </c>
      <c r="S56" s="1">
        <f t="shared" si="3"/>
        <v>10.186878109452737</v>
      </c>
    </row>
    <row r="57" spans="1:19" x14ac:dyDescent="0.35">
      <c r="A57" s="1" t="s">
        <v>122</v>
      </c>
      <c r="B57" s="1" t="s">
        <v>76</v>
      </c>
      <c r="C57" s="1" t="s">
        <v>21</v>
      </c>
      <c r="D57" s="1">
        <v>0</v>
      </c>
      <c r="E57" s="1" t="s">
        <v>98</v>
      </c>
      <c r="F57" s="1">
        <v>95</v>
      </c>
      <c r="G57" s="1" t="s">
        <v>23</v>
      </c>
      <c r="H57" s="1">
        <v>3.69</v>
      </c>
      <c r="I57" s="1">
        <v>-5.2</v>
      </c>
      <c r="J57" s="1">
        <v>-2.63</v>
      </c>
      <c r="K57" s="1">
        <f>J57-I57</f>
        <v>2.5700000000000003</v>
      </c>
      <c r="L57" s="11">
        <v>2.343E-3</v>
      </c>
      <c r="M57" s="1">
        <v>6.4999999999999997E-4</v>
      </c>
      <c r="N57" s="1">
        <v>-2.5499999999999998E-2</v>
      </c>
      <c r="O57" s="3">
        <v>2.7000000000000001E-13</v>
      </c>
      <c r="P57" s="1">
        <f t="shared" si="0"/>
        <v>3.915</v>
      </c>
      <c r="Q57" s="1">
        <f t="shared" si="1"/>
        <v>-3.915</v>
      </c>
      <c r="R57" s="1">
        <f t="shared" si="2"/>
        <v>1.2850000000000001</v>
      </c>
      <c r="S57" s="1">
        <f t="shared" si="3"/>
        <v>5.9639007782101165</v>
      </c>
    </row>
    <row r="58" spans="1:19" x14ac:dyDescent="0.35">
      <c r="A58" s="1" t="s">
        <v>123</v>
      </c>
      <c r="B58" s="1" t="s">
        <v>78</v>
      </c>
      <c r="C58" s="1" t="s">
        <v>30</v>
      </c>
      <c r="D58" s="1">
        <v>1</v>
      </c>
      <c r="E58" s="1" t="s">
        <v>98</v>
      </c>
      <c r="F58" s="1">
        <v>95</v>
      </c>
      <c r="G58" s="1" t="s">
        <v>23</v>
      </c>
      <c r="H58" s="1">
        <v>2.54</v>
      </c>
      <c r="I58" s="1">
        <v>-4.7300000000000004</v>
      </c>
      <c r="J58" s="1">
        <v>-2.31</v>
      </c>
      <c r="K58" s="1">
        <f t="shared" ref="K58:K59" si="8">J58-I58</f>
        <v>2.4200000000000004</v>
      </c>
      <c r="L58" s="1">
        <v>0.18072099999999999</v>
      </c>
      <c r="M58" s="1">
        <v>0.22538</v>
      </c>
      <c r="N58" s="1">
        <v>-0.3427</v>
      </c>
      <c r="O58" s="3">
        <v>6.2500000000000005E-7</v>
      </c>
      <c r="P58" s="1">
        <f t="shared" si="0"/>
        <v>3.5200000000000005</v>
      </c>
      <c r="Q58" s="1">
        <f t="shared" si="1"/>
        <v>-3.5200000000000005</v>
      </c>
      <c r="R58" s="1">
        <f t="shared" si="2"/>
        <v>1.2100000000000002</v>
      </c>
      <c r="S58" s="1">
        <f t="shared" si="3"/>
        <v>5.12</v>
      </c>
    </row>
    <row r="59" spans="1:19" x14ac:dyDescent="0.35">
      <c r="A59" s="1" t="s">
        <v>124</v>
      </c>
      <c r="B59" s="1" t="s">
        <v>80</v>
      </c>
      <c r="C59" s="1" t="s">
        <v>33</v>
      </c>
      <c r="D59" s="1">
        <v>1</v>
      </c>
      <c r="E59" s="1" t="s">
        <v>98</v>
      </c>
      <c r="F59" s="1">
        <v>95</v>
      </c>
      <c r="G59" s="1" t="s">
        <v>23</v>
      </c>
      <c r="H59" s="1">
        <v>2.62</v>
      </c>
      <c r="I59" s="1">
        <v>-4.78</v>
      </c>
      <c r="J59" s="1">
        <v>-2.63</v>
      </c>
      <c r="K59" s="1">
        <f t="shared" si="8"/>
        <v>2.1500000000000004</v>
      </c>
      <c r="L59" s="1">
        <v>0.14746899999999999</v>
      </c>
      <c r="M59" s="1">
        <v>0.20546</v>
      </c>
      <c r="N59" s="1">
        <v>-0.22700000000000001</v>
      </c>
      <c r="O59" s="3">
        <v>6.8999999999999997E-9</v>
      </c>
      <c r="P59" s="1">
        <f t="shared" si="0"/>
        <v>3.7050000000000001</v>
      </c>
      <c r="Q59" s="1">
        <f t="shared" si="1"/>
        <v>-3.7050000000000001</v>
      </c>
      <c r="R59" s="1">
        <f t="shared" si="2"/>
        <v>1.0750000000000002</v>
      </c>
      <c r="S59" s="1">
        <f t="shared" si="3"/>
        <v>6.3846627906976741</v>
      </c>
    </row>
    <row r="60" spans="1:19" x14ac:dyDescent="0.35">
      <c r="A60" s="1" t="s">
        <v>125</v>
      </c>
      <c r="B60" s="1" t="s">
        <v>82</v>
      </c>
      <c r="C60" s="1" t="s">
        <v>21</v>
      </c>
      <c r="D60" s="1">
        <v>0</v>
      </c>
      <c r="E60" s="1" t="s">
        <v>98</v>
      </c>
      <c r="F60" s="1">
        <v>95</v>
      </c>
      <c r="G60" s="1" t="s">
        <v>23</v>
      </c>
      <c r="H60" s="1">
        <v>3.09</v>
      </c>
      <c r="I60" s="1">
        <v>-5.7</v>
      </c>
      <c r="J60" s="1">
        <v>-3.68</v>
      </c>
      <c r="K60" s="1">
        <f>J60-I60</f>
        <v>2.02</v>
      </c>
      <c r="L60" s="1">
        <v>-3.8148000000000001E-2</v>
      </c>
      <c r="M60" s="1">
        <v>-3.8899999999999998E-3</v>
      </c>
      <c r="N60" s="1">
        <v>-0.11559999999999999</v>
      </c>
      <c r="O60" s="3">
        <v>9.0100000000000004E-11</v>
      </c>
      <c r="P60" s="1">
        <f t="shared" si="0"/>
        <v>4.6900000000000004</v>
      </c>
      <c r="Q60" s="1">
        <f t="shared" si="1"/>
        <v>-4.6900000000000004</v>
      </c>
      <c r="R60" s="1">
        <f t="shared" si="2"/>
        <v>1.01</v>
      </c>
      <c r="S60" s="1">
        <f t="shared" si="3"/>
        <v>10.889158415841585</v>
      </c>
    </row>
    <row r="61" spans="1:19" x14ac:dyDescent="0.35">
      <c r="A61" s="1" t="s">
        <v>126</v>
      </c>
      <c r="B61" s="1" t="s">
        <v>84</v>
      </c>
      <c r="C61" s="1" t="s">
        <v>30</v>
      </c>
      <c r="D61" s="1">
        <v>1</v>
      </c>
      <c r="E61" s="1" t="s">
        <v>98</v>
      </c>
      <c r="F61" s="1">
        <v>95</v>
      </c>
      <c r="G61" s="1" t="s">
        <v>23</v>
      </c>
      <c r="H61" s="1">
        <v>2.02</v>
      </c>
      <c r="I61" s="1">
        <v>-5.64</v>
      </c>
      <c r="J61" s="1">
        <v>-3.27</v>
      </c>
      <c r="K61" s="1">
        <f t="shared" ref="K61:K63" si="9">J61-I61</f>
        <v>2.3699999999999997</v>
      </c>
      <c r="L61" s="1">
        <v>0.129888</v>
      </c>
      <c r="M61" s="1">
        <v>0.22244</v>
      </c>
      <c r="N61" s="1">
        <v>-1.538</v>
      </c>
      <c r="O61" s="3">
        <v>102700000000000</v>
      </c>
      <c r="P61" s="1">
        <f t="shared" si="0"/>
        <v>4.4550000000000001</v>
      </c>
      <c r="Q61" s="1">
        <f t="shared" si="1"/>
        <v>-4.4550000000000001</v>
      </c>
      <c r="R61" s="1">
        <f t="shared" si="2"/>
        <v>1.1849999999999998</v>
      </c>
      <c r="S61" s="1">
        <f t="shared" si="3"/>
        <v>8.3742721518987366</v>
      </c>
    </row>
    <row r="62" spans="1:19" x14ac:dyDescent="0.35">
      <c r="A62" s="1" t="s">
        <v>127</v>
      </c>
      <c r="B62" s="1" t="s">
        <v>86</v>
      </c>
      <c r="C62" s="1" t="s">
        <v>33</v>
      </c>
      <c r="D62" s="1">
        <v>1</v>
      </c>
      <c r="E62" s="1" t="s">
        <v>98</v>
      </c>
      <c r="F62" s="1">
        <v>95</v>
      </c>
      <c r="G62" s="1" t="s">
        <v>23</v>
      </c>
      <c r="H62" s="1">
        <v>2.06</v>
      </c>
      <c r="I62" s="1">
        <v>-5.63</v>
      </c>
      <c r="J62" s="1">
        <v>-3.28</v>
      </c>
      <c r="K62" s="1">
        <f t="shared" si="9"/>
        <v>2.35</v>
      </c>
      <c r="L62" s="1">
        <v>0.20385</v>
      </c>
      <c r="M62" s="1">
        <v>0.26138</v>
      </c>
      <c r="N62" s="1">
        <v>-1.2379</v>
      </c>
      <c r="O62" s="3">
        <v>863300000</v>
      </c>
      <c r="P62" s="1">
        <f t="shared" si="0"/>
        <v>4.4550000000000001</v>
      </c>
      <c r="Q62" s="1">
        <f t="shared" si="1"/>
        <v>-4.4550000000000001</v>
      </c>
      <c r="R62" s="1">
        <f t="shared" si="2"/>
        <v>1.175</v>
      </c>
      <c r="S62" s="1">
        <f t="shared" si="3"/>
        <v>8.4455425531914905</v>
      </c>
    </row>
    <row r="63" spans="1:19" x14ac:dyDescent="0.35">
      <c r="A63" s="1" t="s">
        <v>128</v>
      </c>
      <c r="B63" s="1" t="s">
        <v>88</v>
      </c>
      <c r="C63" s="1" t="s">
        <v>48</v>
      </c>
      <c r="D63" s="1">
        <v>1</v>
      </c>
      <c r="E63" s="1" t="s">
        <v>98</v>
      </c>
      <c r="F63" s="1">
        <v>95</v>
      </c>
      <c r="G63" s="1" t="s">
        <v>23</v>
      </c>
      <c r="H63" s="1">
        <v>1.9850000000000001</v>
      </c>
      <c r="I63" s="1">
        <v>-4.2699999999999996</v>
      </c>
      <c r="J63" s="1">
        <v>-2.2599999999999998</v>
      </c>
      <c r="K63" s="1">
        <f t="shared" si="9"/>
        <v>2.0099999999999998</v>
      </c>
      <c r="L63" s="1">
        <v>0.33499699999999999</v>
      </c>
      <c r="M63" s="1">
        <v>0.23252</v>
      </c>
      <c r="N63" s="1">
        <v>-0.98329999999999995</v>
      </c>
      <c r="O63" s="3">
        <v>42700</v>
      </c>
      <c r="P63" s="1">
        <f t="shared" si="0"/>
        <v>3.2649999999999997</v>
      </c>
      <c r="Q63" s="1">
        <f t="shared" si="1"/>
        <v>-3.2649999999999997</v>
      </c>
      <c r="R63" s="1">
        <f t="shared" si="2"/>
        <v>1.0049999999999999</v>
      </c>
      <c r="S63" s="1">
        <f t="shared" si="3"/>
        <v>5.3035945273631837</v>
      </c>
    </row>
    <row r="64" spans="1:19" x14ac:dyDescent="0.35">
      <c r="A64" s="1" t="s">
        <v>129</v>
      </c>
      <c r="B64" s="1" t="s">
        <v>90</v>
      </c>
      <c r="C64" s="1" t="s">
        <v>63</v>
      </c>
      <c r="D64" s="1">
        <v>1</v>
      </c>
      <c r="E64" s="1" t="s">
        <v>98</v>
      </c>
      <c r="F64" s="1">
        <v>95</v>
      </c>
      <c r="G64" s="1" t="s">
        <v>23</v>
      </c>
      <c r="H64" s="1">
        <v>2.19</v>
      </c>
      <c r="I64" s="1">
        <v>-4.5599999999999996</v>
      </c>
      <c r="J64" s="1">
        <v>-2.19</v>
      </c>
      <c r="K64" s="1">
        <f>J64-I64</f>
        <v>2.3699999999999997</v>
      </c>
      <c r="L64" s="1">
        <v>0.26599299999999998</v>
      </c>
      <c r="M64" s="1">
        <v>6.5930000000000002E-2</v>
      </c>
      <c r="N64" s="1">
        <v>-0.87680000000000002</v>
      </c>
      <c r="O64" s="3">
        <v>679.9</v>
      </c>
      <c r="P64" s="1">
        <f t="shared" si="0"/>
        <v>3.375</v>
      </c>
      <c r="Q64" s="1">
        <f t="shared" si="1"/>
        <v>-3.375</v>
      </c>
      <c r="R64" s="1">
        <f t="shared" si="2"/>
        <v>1.1849999999999998</v>
      </c>
      <c r="S64" s="1">
        <f t="shared" si="3"/>
        <v>4.8061708860759502</v>
      </c>
    </row>
    <row r="65" spans="1:19" x14ac:dyDescent="0.35">
      <c r="A65" s="1" t="s">
        <v>130</v>
      </c>
      <c r="B65" s="1" t="s">
        <v>92</v>
      </c>
      <c r="C65" s="1" t="s">
        <v>36</v>
      </c>
      <c r="D65" s="1">
        <v>1</v>
      </c>
      <c r="E65" s="1" t="s">
        <v>98</v>
      </c>
      <c r="F65" s="1">
        <v>95</v>
      </c>
      <c r="G65" s="1" t="s">
        <v>23</v>
      </c>
      <c r="H65" s="1">
        <v>2.23</v>
      </c>
      <c r="I65" s="1">
        <v>-4.63</v>
      </c>
      <c r="J65" s="1">
        <v>-2.66</v>
      </c>
      <c r="K65" s="1">
        <f>J65-I65</f>
        <v>1.9699999999999998</v>
      </c>
      <c r="L65" s="1">
        <v>0.34905000000000003</v>
      </c>
      <c r="M65" s="1">
        <v>0.23136999999999999</v>
      </c>
      <c r="N65" s="1">
        <v>-1.1499999999999999</v>
      </c>
      <c r="O65" s="3">
        <v>28400000</v>
      </c>
      <c r="P65" s="1">
        <f t="shared" si="0"/>
        <v>3.645</v>
      </c>
      <c r="Q65" s="1">
        <f t="shared" si="1"/>
        <v>-3.645</v>
      </c>
      <c r="R65" s="1">
        <f t="shared" si="2"/>
        <v>0.98499999999999988</v>
      </c>
      <c r="S65" s="1">
        <f t="shared" si="3"/>
        <v>6.7441751269035546</v>
      </c>
    </row>
    <row r="66" spans="1:19" x14ac:dyDescent="0.35">
      <c r="A66" s="1" t="s">
        <v>131</v>
      </c>
      <c r="B66" s="1" t="s">
        <v>94</v>
      </c>
      <c r="C66" s="1" t="s">
        <v>39</v>
      </c>
      <c r="D66" s="1">
        <v>1</v>
      </c>
      <c r="E66" s="1" t="s">
        <v>98</v>
      </c>
      <c r="F66" s="1">
        <v>95</v>
      </c>
      <c r="G66" s="1" t="s">
        <v>23</v>
      </c>
      <c r="H66" s="1">
        <v>1.97</v>
      </c>
      <c r="I66" s="1">
        <v>-4.49</v>
      </c>
      <c r="J66" s="1">
        <v>-2.16</v>
      </c>
      <c r="K66" s="1">
        <f>J66-I66</f>
        <v>2.33</v>
      </c>
      <c r="L66" s="1">
        <v>0.32682499999999998</v>
      </c>
      <c r="M66" s="1">
        <v>0.19894000000000001</v>
      </c>
      <c r="N66" s="1">
        <v>-1.1459999999999999</v>
      </c>
      <c r="O66" s="3">
        <v>24300000</v>
      </c>
      <c r="P66" s="1">
        <f t="shared" si="0"/>
        <v>3.3250000000000002</v>
      </c>
      <c r="Q66" s="1">
        <f t="shared" si="1"/>
        <v>-3.3250000000000002</v>
      </c>
      <c r="R66" s="1">
        <f t="shared" si="2"/>
        <v>1.165</v>
      </c>
      <c r="S66" s="1">
        <f t="shared" si="3"/>
        <v>4.7449034334763951</v>
      </c>
    </row>
    <row r="67" spans="1:19" x14ac:dyDescent="0.35">
      <c r="A67" s="1" t="s">
        <v>132</v>
      </c>
      <c r="B67" s="1" t="s">
        <v>96</v>
      </c>
      <c r="C67" s="1" t="s">
        <v>48</v>
      </c>
      <c r="D67" s="1">
        <v>1</v>
      </c>
      <c r="E67" s="1" t="s">
        <v>98</v>
      </c>
      <c r="F67" s="1">
        <v>95</v>
      </c>
      <c r="G67" s="1" t="s">
        <v>23</v>
      </c>
      <c r="H67" s="10">
        <v>2.0699999999999998</v>
      </c>
      <c r="I67" s="1">
        <v>-5.47</v>
      </c>
      <c r="J67" s="1">
        <v>-3.51</v>
      </c>
      <c r="K67" s="1">
        <f>J67-I67</f>
        <v>1.96</v>
      </c>
      <c r="L67" s="1">
        <v>0.316776</v>
      </c>
      <c r="M67" s="1">
        <v>0.22625000000000001</v>
      </c>
      <c r="N67" s="1">
        <v>-0.46239999999999998</v>
      </c>
      <c r="O67" s="3">
        <v>5.8000000000000004E-6</v>
      </c>
      <c r="P67" s="1">
        <f t="shared" ref="P67:P77" si="10">-(Q67)</f>
        <v>4.49</v>
      </c>
      <c r="Q67" s="1">
        <f t="shared" ref="Q67:Q77" si="11">(I67+J67)/2</f>
        <v>-4.49</v>
      </c>
      <c r="R67" s="1">
        <f t="shared" ref="R67:R77" si="12">K67/2</f>
        <v>0.98</v>
      </c>
      <c r="S67" s="1">
        <f t="shared" ref="S67:S77" si="13">(Q67*Q67)/(2*R67)</f>
        <v>10.285765306122451</v>
      </c>
    </row>
    <row r="68" spans="1:19" x14ac:dyDescent="0.35">
      <c r="A68" s="1" t="s">
        <v>133</v>
      </c>
      <c r="B68" s="1" t="s">
        <v>134</v>
      </c>
      <c r="C68" s="1" t="s">
        <v>135</v>
      </c>
      <c r="D68" s="1">
        <v>1</v>
      </c>
      <c r="E68" s="1" t="s">
        <v>22</v>
      </c>
      <c r="F68" s="1">
        <v>115</v>
      </c>
      <c r="G68" s="1" t="s">
        <v>23</v>
      </c>
      <c r="H68" s="1">
        <v>4.3899999999999997</v>
      </c>
      <c r="I68" s="1">
        <v>-5.89</v>
      </c>
      <c r="J68" s="1">
        <v>-2.92</v>
      </c>
      <c r="K68" s="1">
        <f>J68-I68</f>
        <v>2.9699999999999998</v>
      </c>
      <c r="L68" s="1">
        <v>6.8832000000000004E-2</v>
      </c>
      <c r="M68" s="1">
        <v>2.1360000000000001E-2</v>
      </c>
      <c r="N68" s="1">
        <v>-0.46850000000000003</v>
      </c>
      <c r="O68" s="3">
        <v>8.3900000000000006E-5</v>
      </c>
      <c r="P68" s="1">
        <f t="shared" si="10"/>
        <v>4.4049999999999994</v>
      </c>
      <c r="Q68" s="1">
        <f t="shared" si="11"/>
        <v>-4.4049999999999994</v>
      </c>
      <c r="R68" s="1">
        <f t="shared" si="12"/>
        <v>1.4849999999999999</v>
      </c>
      <c r="S68" s="1">
        <f t="shared" si="13"/>
        <v>6.5333417508417488</v>
      </c>
    </row>
    <row r="69" spans="1:19" x14ac:dyDescent="0.35">
      <c r="A69" s="1" t="s">
        <v>136</v>
      </c>
      <c r="B69" s="1" t="s">
        <v>134</v>
      </c>
      <c r="C69" s="1" t="s">
        <v>137</v>
      </c>
      <c r="D69" s="1">
        <v>1</v>
      </c>
      <c r="E69" s="1" t="s">
        <v>22</v>
      </c>
      <c r="F69" s="1">
        <v>115</v>
      </c>
      <c r="G69" s="1" t="s">
        <v>23</v>
      </c>
      <c r="H69" s="1">
        <v>2.36</v>
      </c>
      <c r="I69" s="1">
        <v>-5.66</v>
      </c>
      <c r="J69" s="1">
        <v>-2.39</v>
      </c>
      <c r="K69" s="1">
        <f t="shared" ref="K69:K77" si="14">J69-I69</f>
        <v>3.27</v>
      </c>
      <c r="L69" s="1">
        <v>0.19323499999999999</v>
      </c>
      <c r="M69" s="1">
        <v>0.13048000000000001</v>
      </c>
      <c r="N69" s="1">
        <v>-1.3383</v>
      </c>
      <c r="O69" s="3">
        <v>43100000000</v>
      </c>
      <c r="P69" s="1">
        <f t="shared" si="10"/>
        <v>4.0250000000000004</v>
      </c>
      <c r="Q69" s="1">
        <f t="shared" si="11"/>
        <v>-4.0250000000000004</v>
      </c>
      <c r="R69" s="1">
        <f t="shared" si="12"/>
        <v>1.635</v>
      </c>
      <c r="S69" s="1">
        <f t="shared" si="13"/>
        <v>4.9543195718654438</v>
      </c>
    </row>
    <row r="70" spans="1:19" x14ac:dyDescent="0.35">
      <c r="A70" s="1" t="s">
        <v>133</v>
      </c>
      <c r="B70" s="1" t="s">
        <v>134</v>
      </c>
      <c r="C70" s="1" t="s">
        <v>135</v>
      </c>
      <c r="D70" s="1">
        <v>1</v>
      </c>
      <c r="E70" s="1" t="s">
        <v>138</v>
      </c>
      <c r="F70" s="1">
        <v>115</v>
      </c>
      <c r="G70" s="1" t="s">
        <v>23</v>
      </c>
      <c r="H70" s="1">
        <v>4.9800000000000004</v>
      </c>
      <c r="I70" s="1">
        <v>-5.62</v>
      </c>
      <c r="J70" s="1">
        <v>-2.3889999999999998</v>
      </c>
      <c r="K70" s="1">
        <f t="shared" si="14"/>
        <v>3.2310000000000003</v>
      </c>
      <c r="L70" s="1">
        <v>5.4719999999999998E-2</v>
      </c>
      <c r="M70" s="1">
        <v>1.6389999999999998E-2</v>
      </c>
      <c r="N70" s="1">
        <v>-0.13619999999999999</v>
      </c>
      <c r="O70" s="3">
        <v>2.01E-10</v>
      </c>
      <c r="P70" s="1">
        <f t="shared" si="10"/>
        <v>4.0045000000000002</v>
      </c>
      <c r="Q70" s="1">
        <f t="shared" si="11"/>
        <v>-4.0045000000000002</v>
      </c>
      <c r="R70" s="1">
        <f t="shared" si="12"/>
        <v>1.6155000000000002</v>
      </c>
      <c r="S70" s="1">
        <f t="shared" si="13"/>
        <v>4.963175564840606</v>
      </c>
    </row>
    <row r="71" spans="1:19" x14ac:dyDescent="0.35">
      <c r="A71" s="1" t="s">
        <v>136</v>
      </c>
      <c r="B71" s="1" t="s">
        <v>134</v>
      </c>
      <c r="C71" s="1" t="s">
        <v>137</v>
      </c>
      <c r="D71" s="1">
        <v>1</v>
      </c>
      <c r="E71" s="1" t="s">
        <v>138</v>
      </c>
      <c r="F71" s="1">
        <v>115</v>
      </c>
      <c r="G71" s="1" t="s">
        <v>23</v>
      </c>
      <c r="H71" s="1">
        <v>2.2999999999999998</v>
      </c>
      <c r="I71" s="1">
        <v>-5.77</v>
      </c>
      <c r="J71" s="1">
        <v>-1.73</v>
      </c>
      <c r="K71" s="1">
        <f t="shared" si="14"/>
        <v>4.0399999999999991</v>
      </c>
      <c r="L71" s="1">
        <v>0.36974200000000002</v>
      </c>
      <c r="M71" s="1">
        <v>0.25047999999999998</v>
      </c>
      <c r="N71" s="1">
        <v>-2.5</v>
      </c>
      <c r="O71" s="3">
        <v>1.9560000000000001E+30</v>
      </c>
      <c r="P71" s="1">
        <f t="shared" si="10"/>
        <v>3.75</v>
      </c>
      <c r="Q71" s="1">
        <f t="shared" si="11"/>
        <v>-3.75</v>
      </c>
      <c r="R71" s="1">
        <f t="shared" si="12"/>
        <v>2.0199999999999996</v>
      </c>
      <c r="S71" s="1">
        <f t="shared" si="13"/>
        <v>3.4808168316831689</v>
      </c>
    </row>
    <row r="72" spans="1:19" x14ac:dyDescent="0.35">
      <c r="A72" s="1" t="s">
        <v>139</v>
      </c>
      <c r="B72" s="1" t="s">
        <v>140</v>
      </c>
      <c r="C72" s="15" t="s">
        <v>135</v>
      </c>
      <c r="D72" s="1">
        <v>1</v>
      </c>
      <c r="E72" s="1" t="s">
        <v>138</v>
      </c>
      <c r="F72" s="1">
        <v>115</v>
      </c>
      <c r="G72" s="1" t="s">
        <v>23</v>
      </c>
      <c r="H72" s="10">
        <v>3.11</v>
      </c>
      <c r="I72" s="10">
        <v>-2.69</v>
      </c>
      <c r="J72" s="10">
        <v>-1.88</v>
      </c>
      <c r="K72" s="10">
        <f t="shared" si="14"/>
        <v>0.81</v>
      </c>
      <c r="L72" s="11">
        <v>5.1048999999999997E-2</v>
      </c>
      <c r="M72" s="10">
        <v>-8.022E-2</v>
      </c>
      <c r="N72" s="10">
        <v>-0.1409</v>
      </c>
      <c r="O72" s="3">
        <v>4.1700000000000003E-15</v>
      </c>
      <c r="P72" s="1">
        <f t="shared" si="10"/>
        <v>2.2850000000000001</v>
      </c>
      <c r="Q72" s="1">
        <f t="shared" si="11"/>
        <v>-2.2850000000000001</v>
      </c>
      <c r="R72" s="1">
        <f t="shared" si="12"/>
        <v>0.40500000000000003</v>
      </c>
      <c r="S72" s="1">
        <f t="shared" si="13"/>
        <v>6.4459567901234571</v>
      </c>
    </row>
    <row r="73" spans="1:19" x14ac:dyDescent="0.35">
      <c r="A73" s="1" t="s">
        <v>141</v>
      </c>
      <c r="B73" s="1" t="s">
        <v>142</v>
      </c>
      <c r="C73" s="15" t="s">
        <v>135</v>
      </c>
      <c r="D73" s="1">
        <v>1</v>
      </c>
      <c r="E73" s="1" t="s">
        <v>138</v>
      </c>
      <c r="F73" s="1">
        <v>65</v>
      </c>
      <c r="G73" s="1" t="s">
        <v>23</v>
      </c>
      <c r="H73" s="1">
        <v>3.68</v>
      </c>
      <c r="I73" s="1">
        <v>-5.19</v>
      </c>
      <c r="J73" s="1">
        <v>-4.16</v>
      </c>
      <c r="K73" s="1">
        <f t="shared" si="14"/>
        <v>1.0300000000000002</v>
      </c>
      <c r="L73" s="1">
        <v>9.8221000000000003E-2</v>
      </c>
      <c r="M73" s="1">
        <v>8.0780000000000005E-2</v>
      </c>
      <c r="N73" s="1">
        <v>-0.1082</v>
      </c>
      <c r="O73" s="3">
        <v>6.7600000000000004E-11</v>
      </c>
      <c r="P73" s="1">
        <f t="shared" si="10"/>
        <v>4.6750000000000007</v>
      </c>
      <c r="Q73" s="1">
        <f t="shared" si="11"/>
        <v>-4.6750000000000007</v>
      </c>
      <c r="R73" s="1">
        <f t="shared" si="12"/>
        <v>0.51500000000000012</v>
      </c>
      <c r="S73" s="1">
        <f t="shared" si="13"/>
        <v>21.219053398058254</v>
      </c>
    </row>
    <row r="74" spans="1:19" x14ac:dyDescent="0.35">
      <c r="A74" s="1" t="s">
        <v>143</v>
      </c>
      <c r="B74" s="1" t="s">
        <v>142</v>
      </c>
      <c r="C74" s="15" t="s">
        <v>137</v>
      </c>
      <c r="D74" s="1">
        <v>1</v>
      </c>
      <c r="E74" s="1" t="s">
        <v>138</v>
      </c>
      <c r="F74" s="1">
        <v>65</v>
      </c>
      <c r="G74" s="1" t="s">
        <v>23</v>
      </c>
      <c r="H74" s="1">
        <v>4.75</v>
      </c>
      <c r="I74" s="1">
        <v>-5.33</v>
      </c>
      <c r="J74" s="1">
        <v>-4.05</v>
      </c>
      <c r="K74" s="1">
        <f t="shared" si="14"/>
        <v>1.2800000000000002</v>
      </c>
      <c r="L74" s="1">
        <v>0.20801900000000001</v>
      </c>
      <c r="M74" s="1">
        <v>0.23125000000000001</v>
      </c>
      <c r="N74" s="10">
        <v>-0.19320000000000001</v>
      </c>
      <c r="O74" s="3">
        <v>1.854E-9</v>
      </c>
      <c r="P74" s="1">
        <f t="shared" si="10"/>
        <v>4.6899999999999995</v>
      </c>
      <c r="Q74" s="1">
        <f t="shared" si="11"/>
        <v>-4.6899999999999995</v>
      </c>
      <c r="R74" s="1">
        <f t="shared" si="12"/>
        <v>0.64000000000000012</v>
      </c>
      <c r="S74" s="1">
        <f t="shared" si="13"/>
        <v>17.184453124999994</v>
      </c>
    </row>
    <row r="75" spans="1:19" x14ac:dyDescent="0.35">
      <c r="A75" s="1" t="s">
        <v>139</v>
      </c>
      <c r="B75" s="1" t="s">
        <v>140</v>
      </c>
      <c r="C75" s="15" t="s">
        <v>135</v>
      </c>
      <c r="D75" s="1">
        <v>1</v>
      </c>
      <c r="E75" s="1" t="s">
        <v>22</v>
      </c>
      <c r="F75" s="1">
        <v>115</v>
      </c>
      <c r="G75" s="1" t="s">
        <v>23</v>
      </c>
      <c r="H75" s="10">
        <v>2.97</v>
      </c>
      <c r="I75" s="10">
        <v>-2.214</v>
      </c>
      <c r="J75" s="10">
        <v>-1.788</v>
      </c>
      <c r="K75" s="10">
        <f t="shared" si="14"/>
        <v>0.42599999999999993</v>
      </c>
      <c r="L75" s="10">
        <v>6.3977000000000006E-2</v>
      </c>
      <c r="M75" s="10">
        <v>-7.7329999999999996E-2</v>
      </c>
      <c r="N75" s="10">
        <v>-0.4546</v>
      </c>
      <c r="O75" s="14">
        <v>2.1099999999999999E-20</v>
      </c>
      <c r="P75" s="1">
        <f t="shared" si="10"/>
        <v>2.0009999999999999</v>
      </c>
      <c r="Q75" s="1">
        <f t="shared" si="11"/>
        <v>-2.0009999999999999</v>
      </c>
      <c r="R75" s="1">
        <f t="shared" si="12"/>
        <v>0.21299999999999997</v>
      </c>
      <c r="S75" s="1">
        <f t="shared" si="13"/>
        <v>9.3990633802816905</v>
      </c>
    </row>
    <row r="76" spans="1:19" x14ac:dyDescent="0.35">
      <c r="A76" s="1" t="s">
        <v>141</v>
      </c>
      <c r="B76" s="1" t="s">
        <v>142</v>
      </c>
      <c r="C76" s="1" t="s">
        <v>135</v>
      </c>
      <c r="D76" s="1">
        <v>1</v>
      </c>
      <c r="E76" s="1" t="s">
        <v>22</v>
      </c>
      <c r="F76" s="1">
        <v>65</v>
      </c>
      <c r="G76" s="1" t="s">
        <v>23</v>
      </c>
      <c r="H76" s="1">
        <v>3.68</v>
      </c>
      <c r="I76" s="1">
        <v>-5.28</v>
      </c>
      <c r="J76" s="1">
        <v>-4.54</v>
      </c>
      <c r="K76" s="1">
        <f t="shared" si="14"/>
        <v>0.74000000000000021</v>
      </c>
      <c r="L76" s="1">
        <v>5.3296999999999997E-2</v>
      </c>
      <c r="M76" s="1">
        <v>8.0780000000000005E-2</v>
      </c>
      <c r="N76" s="1">
        <v>-0.35439999999999999</v>
      </c>
      <c r="O76" s="3">
        <v>9.8599999999999996E-7</v>
      </c>
      <c r="P76" s="1">
        <f t="shared" si="10"/>
        <v>4.91</v>
      </c>
      <c r="Q76" s="1">
        <f t="shared" si="11"/>
        <v>-4.91</v>
      </c>
      <c r="R76" s="1">
        <f t="shared" si="12"/>
        <v>0.37000000000000011</v>
      </c>
      <c r="S76" s="1">
        <f t="shared" si="13"/>
        <v>32.578513513513506</v>
      </c>
    </row>
    <row r="77" spans="1:19" x14ac:dyDescent="0.35">
      <c r="A77" s="1" t="s">
        <v>143</v>
      </c>
      <c r="B77" s="1" t="s">
        <v>142</v>
      </c>
      <c r="C77" s="1" t="s">
        <v>137</v>
      </c>
      <c r="D77" s="1">
        <v>1</v>
      </c>
      <c r="E77" s="1" t="s">
        <v>22</v>
      </c>
      <c r="F77" s="1">
        <v>65</v>
      </c>
      <c r="G77" s="1" t="s">
        <v>23</v>
      </c>
      <c r="H77" s="1">
        <v>4.75</v>
      </c>
      <c r="I77" s="1">
        <v>-5.52</v>
      </c>
      <c r="J77" s="1">
        <v>-4.22</v>
      </c>
      <c r="K77" s="1">
        <f t="shared" si="14"/>
        <v>1.2999999999999998</v>
      </c>
      <c r="L77" s="1">
        <v>0.18901899999999999</v>
      </c>
      <c r="M77" s="1">
        <v>0.22358</v>
      </c>
      <c r="N77" s="1">
        <v>-0.42620000000000002</v>
      </c>
      <c r="O77" s="3">
        <v>1.6200000000000001E-5</v>
      </c>
      <c r="P77" s="1">
        <f t="shared" si="10"/>
        <v>4.8699999999999992</v>
      </c>
      <c r="Q77" s="1">
        <f t="shared" si="11"/>
        <v>-4.8699999999999992</v>
      </c>
      <c r="R77" s="1">
        <f t="shared" si="12"/>
        <v>0.64999999999999991</v>
      </c>
      <c r="S77" s="1">
        <f t="shared" si="13"/>
        <v>18.243769230769228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anoop</dc:creator>
  <cp:lastModifiedBy>aiswarya anoop</cp:lastModifiedBy>
  <dcterms:created xsi:type="dcterms:W3CDTF">2026-06-24T09:10:55Z</dcterms:created>
  <dcterms:modified xsi:type="dcterms:W3CDTF">2026-06-24T09:11:43Z</dcterms:modified>
</cp:coreProperties>
</file>